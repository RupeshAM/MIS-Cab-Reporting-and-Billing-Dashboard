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slicerCaches/slicerCache11.xml" ContentType="application/vnd.ms-excel.slicerCache+xml"/>
  <Override PartName="/xl/slicerCaches/slicerCache12.xml" ContentType="application/vnd.ms-excel.slicerCache+xml"/>
  <Override PartName="/xl/slicerCaches/slicerCache1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3.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rupesh.kumar\Desktop\JULY MIS FOLDER\"/>
    </mc:Choice>
  </mc:AlternateContent>
  <xr:revisionPtr revIDLastSave="0" documentId="13_ncr:1_{66036D7E-53B0-4EDE-8BB8-E7FCC65C753F}" xr6:coauthVersionLast="47" xr6:coauthVersionMax="47" xr10:uidLastSave="{00000000-0000-0000-0000-000000000000}"/>
  <bookViews>
    <workbookView xWindow="-108" yWindow="-108" windowWidth="23256" windowHeight="13896" firstSheet="2" activeTab="4" xr2:uid="{CADABDDE-ACC8-4599-B29C-B8AFBC16FFBC}"/>
  </bookViews>
  <sheets>
    <sheet name="Report -1 " sheetId="2" state="hidden" r:id="rId1"/>
    <sheet name="Report-2" sheetId="3" state="hidden" r:id="rId2"/>
    <sheet name="HKI CAB DASHBORD" sheetId="4" r:id="rId3"/>
    <sheet name="Sheet5" sheetId="5" state="hidden" r:id="rId4"/>
    <sheet name="MIS JULY-26" sheetId="1" r:id="rId5"/>
  </sheets>
  <externalReferences>
    <externalReference r:id="rId6"/>
    <externalReference r:id="rId7"/>
    <externalReference r:id="rId8"/>
  </externalReferences>
  <definedNames>
    <definedName name="Slicer_DRIVER_NAME">#N/A</definedName>
    <definedName name="Slicer_END_USER">#N/A</definedName>
    <definedName name="Slicer_HKI_INVOICE_AMT.">#N/A</definedName>
    <definedName name="Slicer_MILEAGE_IN_KM.">#N/A</definedName>
    <definedName name="Slicer_NET_LOSS_AMT">#N/A</definedName>
    <definedName name="Slicer_NET_PROFIT_AMT.">#N/A</definedName>
    <definedName name="Slicer_Remarks">#N/A</definedName>
    <definedName name="Slicer_RENT_TYPE">#N/A</definedName>
    <definedName name="Slicer_TOTAL_EXPENSE">#N/A</definedName>
    <definedName name="Slicer_Total_Km.">#N/A</definedName>
    <definedName name="Slicer_VEHICLE_NUMBER">#N/A</definedName>
    <definedName name="Slicer_VEHICLE_OWNER">#N/A</definedName>
    <definedName name="Slicer_VEHICLE_TYPE">#N/A</definedName>
  </definedNames>
  <calcPr calcId="191029"/>
  <pivotCaches>
    <pivotCache cacheId="0" r:id="rId9"/>
  </pivotCaches>
  <extLst>
    <ext xmlns:x14="http://schemas.microsoft.com/office/spreadsheetml/2009/9/main" uri="{BBE1A952-AA13-448e-AADC-164F8A28A991}">
      <x14:slicerCaches>
        <x14:slicerCache r:id="rId10"/>
        <x14:slicerCache r:id="rId11"/>
        <x14:slicerCache r:id="rId12"/>
        <x14:slicerCache r:id="rId13"/>
        <x14:slicerCache r:id="rId14"/>
        <x14:slicerCache r:id="rId15"/>
        <x14:slicerCache r:id="rId16"/>
        <x14:slicerCache r:id="rId17"/>
        <x14:slicerCache r:id="rId18"/>
        <x14:slicerCache r:id="rId19"/>
        <x14:slicerCache r:id="rId20"/>
        <x14:slicerCache r:id="rId21"/>
        <x14:slicerCache r:id="rId2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V46" i="1" l="1"/>
  <c r="U46" i="1"/>
  <c r="T46" i="1"/>
  <c r="S46" i="1"/>
  <c r="R46" i="1"/>
  <c r="Q46" i="1"/>
  <c r="P46" i="1"/>
  <c r="O46" i="1"/>
  <c r="X46" i="1"/>
  <c r="X2" i="1"/>
  <c r="T2" i="1" l="1"/>
  <c r="T3" i="1"/>
  <c r="T4" i="1"/>
  <c r="T5" i="1"/>
  <c r="T6" i="1"/>
  <c r="T7" i="1"/>
  <c r="T8" i="1"/>
  <c r="T9" i="1"/>
  <c r="T10" i="1"/>
  <c r="T11" i="1"/>
  <c r="T12" i="1"/>
  <c r="T13" i="1"/>
  <c r="T14" i="1"/>
  <c r="T15" i="1"/>
  <c r="T16" i="1"/>
  <c r="T17" i="1"/>
  <c r="T18" i="1"/>
  <c r="T19" i="1"/>
  <c r="T20" i="1"/>
  <c r="T21" i="1"/>
  <c r="T22" i="1"/>
  <c r="T23" i="1"/>
  <c r="T24" i="1"/>
  <c r="T25" i="1"/>
  <c r="U25" i="1" s="1"/>
  <c r="T26" i="1"/>
  <c r="T27" i="1"/>
  <c r="T29" i="1"/>
  <c r="T30" i="1"/>
  <c r="T31" i="1"/>
  <c r="T32" i="1"/>
  <c r="T33" i="1"/>
  <c r="T34" i="1"/>
  <c r="T35" i="1"/>
  <c r="T36" i="1"/>
  <c r="T37" i="1"/>
  <c r="T38" i="1"/>
  <c r="T39" i="1"/>
  <c r="U39" i="1" s="1"/>
  <c r="W39" i="1" s="1"/>
  <c r="T40" i="1"/>
  <c r="U40" i="1" s="1"/>
  <c r="W40" i="1" s="1"/>
  <c r="T41" i="1"/>
  <c r="U41" i="1" s="1"/>
  <c r="W41" i="1" s="1"/>
  <c r="T42" i="1"/>
  <c r="U42" i="1" s="1"/>
  <c r="W42" i="1" s="1"/>
  <c r="T43" i="1"/>
  <c r="T44" i="1"/>
  <c r="T45" i="1"/>
  <c r="O2" i="1"/>
  <c r="O3" i="1"/>
  <c r="O4" i="1"/>
  <c r="O5" i="1"/>
  <c r="O6" i="1"/>
  <c r="O7" i="1"/>
  <c r="O8" i="1"/>
  <c r="O9" i="1"/>
  <c r="O10" i="1"/>
  <c r="O11" i="1"/>
  <c r="O12" i="1"/>
  <c r="O13" i="1"/>
  <c r="O14" i="1"/>
  <c r="O15" i="1"/>
  <c r="O16" i="1"/>
  <c r="O17" i="1"/>
  <c r="O18" i="1"/>
  <c r="O19" i="1"/>
  <c r="O20" i="1"/>
  <c r="O21" i="1"/>
  <c r="O22" i="1"/>
  <c r="O23" i="1"/>
  <c r="O24" i="1"/>
  <c r="O26" i="1"/>
  <c r="O27" i="1"/>
  <c r="O29" i="1"/>
  <c r="O30" i="1"/>
  <c r="O31" i="1"/>
  <c r="O32" i="1"/>
  <c r="O33" i="1"/>
  <c r="O34" i="1"/>
  <c r="O35" i="1"/>
  <c r="O36" i="1"/>
  <c r="O37" i="1"/>
  <c r="O38" i="1"/>
  <c r="O43" i="1"/>
  <c r="O44" i="1"/>
  <c r="O45" i="1"/>
  <c r="N2" i="1"/>
  <c r="N3" i="1"/>
  <c r="N4" i="1"/>
  <c r="N5" i="1"/>
  <c r="N6" i="1"/>
  <c r="N7" i="1"/>
  <c r="N8" i="1"/>
  <c r="N9" i="1"/>
  <c r="N10" i="1"/>
  <c r="N11" i="1"/>
  <c r="N12" i="1"/>
  <c r="N13" i="1"/>
  <c r="N14" i="1"/>
  <c r="N15" i="1"/>
  <c r="N16" i="1"/>
  <c r="N17" i="1"/>
  <c r="N18" i="1"/>
  <c r="N19" i="1"/>
  <c r="N20" i="1"/>
  <c r="N21" i="1"/>
  <c r="N22" i="1"/>
  <c r="N23" i="1"/>
  <c r="N24" i="1"/>
  <c r="N26" i="1"/>
  <c r="N27" i="1"/>
  <c r="N28" i="1"/>
  <c r="N29" i="1"/>
  <c r="N30" i="1"/>
  <c r="N31" i="1"/>
  <c r="N32" i="1"/>
  <c r="N33" i="1"/>
  <c r="N34" i="1"/>
  <c r="N35" i="1"/>
  <c r="N36" i="1"/>
  <c r="N37" i="1"/>
  <c r="N38" i="1"/>
  <c r="N43" i="1"/>
  <c r="N44" i="1"/>
  <c r="N45" i="1"/>
  <c r="L2" i="1"/>
  <c r="L3" i="1"/>
  <c r="L4" i="1"/>
  <c r="M4" i="1" s="1"/>
  <c r="L5" i="1"/>
  <c r="L6" i="1"/>
  <c r="L7" i="1"/>
  <c r="L8" i="1"/>
  <c r="L9" i="1"/>
  <c r="L10" i="1"/>
  <c r="L11" i="1"/>
  <c r="L12" i="1"/>
  <c r="L13" i="1"/>
  <c r="L14" i="1"/>
  <c r="L15" i="1"/>
  <c r="L16" i="1"/>
  <c r="M16" i="1" s="1"/>
  <c r="L17" i="1"/>
  <c r="L18" i="1"/>
  <c r="L19" i="1"/>
  <c r="L20" i="1"/>
  <c r="L21" i="1"/>
  <c r="L22" i="1"/>
  <c r="L23" i="1"/>
  <c r="L24" i="1"/>
  <c r="L26" i="1"/>
  <c r="L27" i="1"/>
  <c r="L28" i="1"/>
  <c r="L29" i="1"/>
  <c r="L30" i="1"/>
  <c r="L31" i="1"/>
  <c r="L32" i="1"/>
  <c r="L33" i="1"/>
  <c r="L34" i="1"/>
  <c r="L35" i="1"/>
  <c r="L36" i="1"/>
  <c r="L37" i="1"/>
  <c r="L38" i="1"/>
  <c r="L43" i="1"/>
  <c r="L44" i="1"/>
  <c r="L45" i="1"/>
  <c r="M45" i="1" s="1"/>
  <c r="K2" i="1"/>
  <c r="K3" i="1"/>
  <c r="K4" i="1"/>
  <c r="K5" i="1"/>
  <c r="K6" i="1"/>
  <c r="K7" i="1"/>
  <c r="K8" i="1"/>
  <c r="K9" i="1"/>
  <c r="K10" i="1"/>
  <c r="M10" i="1" s="1"/>
  <c r="K11" i="1"/>
  <c r="M11" i="1" s="1"/>
  <c r="K12" i="1"/>
  <c r="K13" i="1"/>
  <c r="K14" i="1"/>
  <c r="K15" i="1"/>
  <c r="K16" i="1"/>
  <c r="K17" i="1"/>
  <c r="K18" i="1"/>
  <c r="K19" i="1"/>
  <c r="K20" i="1"/>
  <c r="K21" i="1"/>
  <c r="K22" i="1"/>
  <c r="K23" i="1"/>
  <c r="K24" i="1"/>
  <c r="K26" i="1"/>
  <c r="K27" i="1"/>
  <c r="K28" i="1"/>
  <c r="K29" i="1"/>
  <c r="K30" i="1"/>
  <c r="K31" i="1"/>
  <c r="K32" i="1"/>
  <c r="K33" i="1"/>
  <c r="K34" i="1"/>
  <c r="K35" i="1"/>
  <c r="M35" i="1" s="1"/>
  <c r="K36" i="1"/>
  <c r="K37" i="1"/>
  <c r="K38" i="1"/>
  <c r="K43" i="1"/>
  <c r="K44" i="1"/>
  <c r="K45" i="1"/>
  <c r="M44" i="1" l="1"/>
  <c r="M15" i="1"/>
  <c r="M3" i="1"/>
  <c r="M20" i="1"/>
  <c r="M27" i="1"/>
  <c r="M14" i="1"/>
  <c r="M2" i="1"/>
  <c r="M34" i="1"/>
  <c r="M9" i="1"/>
  <c r="M30" i="1"/>
  <c r="M17" i="1"/>
  <c r="M5" i="1"/>
  <c r="M33" i="1"/>
  <c r="M8" i="1"/>
  <c r="M23" i="1"/>
  <c r="M19" i="1"/>
  <c r="M7" i="1"/>
  <c r="M31" i="1"/>
  <c r="M18" i="1"/>
  <c r="M6" i="1"/>
  <c r="M22" i="1"/>
  <c r="U34" i="1"/>
  <c r="X34" i="1" s="1"/>
  <c r="M21" i="1"/>
  <c r="M32" i="1"/>
  <c r="M24" i="1"/>
  <c r="M36" i="1"/>
  <c r="M38" i="1"/>
  <c r="M26" i="1"/>
  <c r="M13" i="1"/>
  <c r="M37" i="1"/>
  <c r="M12" i="1"/>
  <c r="M29" i="1"/>
  <c r="M43" i="1"/>
  <c r="S8" i="1"/>
  <c r="S9" i="1"/>
  <c r="S10" i="1"/>
  <c r="S11" i="1"/>
  <c r="S12" i="1"/>
  <c r="S13" i="1"/>
  <c r="S14" i="1"/>
  <c r="S15" i="1"/>
  <c r="S16" i="1"/>
  <c r="S17" i="1"/>
  <c r="S18" i="1"/>
  <c r="S19" i="1"/>
  <c r="S20" i="1"/>
  <c r="S21" i="1"/>
  <c r="S22" i="1"/>
  <c r="S23" i="1"/>
  <c r="S24" i="1"/>
  <c r="S26" i="1"/>
  <c r="S29" i="1"/>
  <c r="S30" i="1"/>
  <c r="S31" i="1"/>
  <c r="S32" i="1"/>
  <c r="S33" i="1"/>
  <c r="S35" i="1"/>
  <c r="S36" i="1"/>
  <c r="S37" i="1"/>
  <c r="S38" i="1"/>
  <c r="S44" i="1"/>
  <c r="S45" i="1"/>
  <c r="R3" i="1"/>
  <c r="R4" i="1"/>
  <c r="R5" i="1"/>
  <c r="R6" i="1"/>
  <c r="R7" i="1"/>
  <c r="R8" i="1"/>
  <c r="R9" i="1"/>
  <c r="R10" i="1"/>
  <c r="R11" i="1"/>
  <c r="R12" i="1"/>
  <c r="R13" i="1"/>
  <c r="R14" i="1"/>
  <c r="R15" i="1"/>
  <c r="R16" i="1"/>
  <c r="R17" i="1"/>
  <c r="R18" i="1"/>
  <c r="R19" i="1"/>
  <c r="R20" i="1"/>
  <c r="R21" i="1"/>
  <c r="R22" i="1"/>
  <c r="R23" i="1"/>
  <c r="R24" i="1"/>
  <c r="R26" i="1"/>
  <c r="R27" i="1"/>
  <c r="R28" i="1"/>
  <c r="R29" i="1"/>
  <c r="R30" i="1"/>
  <c r="R31" i="1"/>
  <c r="R32" i="1"/>
  <c r="R33" i="1"/>
  <c r="R35" i="1"/>
  <c r="R36" i="1"/>
  <c r="R37" i="1"/>
  <c r="R38" i="1"/>
  <c r="R43" i="1"/>
  <c r="R44" i="1"/>
  <c r="R45" i="1"/>
  <c r="Q3" i="1"/>
  <c r="Q4" i="1"/>
  <c r="Q5" i="1"/>
  <c r="U5" i="1" s="1"/>
  <c r="Q6" i="1"/>
  <c r="U6" i="1" s="1"/>
  <c r="Q7" i="1"/>
  <c r="Q8" i="1"/>
  <c r="Q9" i="1"/>
  <c r="Q10" i="1"/>
  <c r="Q11" i="1"/>
  <c r="Q12" i="1"/>
  <c r="Q13" i="1"/>
  <c r="Q14" i="1"/>
  <c r="Q15" i="1"/>
  <c r="Q16" i="1"/>
  <c r="Q17" i="1"/>
  <c r="Q18" i="1"/>
  <c r="Q19" i="1"/>
  <c r="Q20" i="1"/>
  <c r="Q21" i="1"/>
  <c r="Q22" i="1"/>
  <c r="Q23" i="1"/>
  <c r="Q24" i="1"/>
  <c r="Q26" i="1"/>
  <c r="Q27" i="1"/>
  <c r="U27" i="1" s="1"/>
  <c r="Q28" i="1"/>
  <c r="Q29" i="1"/>
  <c r="Q30" i="1"/>
  <c r="U30" i="1" s="1"/>
  <c r="Q31" i="1"/>
  <c r="U31" i="1" s="1"/>
  <c r="Q32" i="1"/>
  <c r="Q33" i="1"/>
  <c r="Q35" i="1"/>
  <c r="Q36" i="1"/>
  <c r="U36" i="1" s="1"/>
  <c r="Q37" i="1"/>
  <c r="Q38" i="1"/>
  <c r="Q43" i="1"/>
  <c r="Q44" i="1"/>
  <c r="U44" i="1" s="1"/>
  <c r="Q45" i="1"/>
  <c r="V2" i="1"/>
  <c r="V3" i="1"/>
  <c r="V4" i="1"/>
  <c r="V5" i="1"/>
  <c r="V6" i="1"/>
  <c r="V7" i="1"/>
  <c r="V8" i="1"/>
  <c r="V9" i="1"/>
  <c r="V10" i="1"/>
  <c r="V11" i="1"/>
  <c r="V12" i="1"/>
  <c r="V13" i="1"/>
  <c r="V14" i="1"/>
  <c r="V15" i="1"/>
  <c r="V16" i="1"/>
  <c r="V17" i="1"/>
  <c r="V18" i="1"/>
  <c r="V19" i="1"/>
  <c r="V20" i="1"/>
  <c r="V21" i="1"/>
  <c r="V22" i="1"/>
  <c r="V23" i="1"/>
  <c r="V24" i="1"/>
  <c r="V25" i="1"/>
  <c r="W25" i="1" s="1"/>
  <c r="V26" i="1"/>
  <c r="V27" i="1"/>
  <c r="V28" i="1"/>
  <c r="V29" i="1"/>
  <c r="V30" i="1"/>
  <c r="V31" i="1"/>
  <c r="V32" i="1"/>
  <c r="V33" i="1"/>
  <c r="V35" i="1"/>
  <c r="V36" i="1"/>
  <c r="V37" i="1"/>
  <c r="V38" i="1"/>
  <c r="V43" i="1"/>
  <c r="V44" i="1"/>
  <c r="V45" i="1"/>
  <c r="R2" i="1"/>
  <c r="Q2" i="1"/>
  <c r="W5" i="1" l="1"/>
  <c r="U37" i="1"/>
  <c r="U32" i="1"/>
  <c r="X32" i="1" s="1"/>
  <c r="U7" i="1"/>
  <c r="W7" i="1" s="1"/>
  <c r="W44" i="1"/>
  <c r="W27" i="1"/>
  <c r="U29" i="1"/>
  <c r="W29" i="1" s="1"/>
  <c r="U4" i="1"/>
  <c r="W4" i="1" s="1"/>
  <c r="U43" i="1"/>
  <c r="W43" i="1" s="1"/>
  <c r="U26" i="1"/>
  <c r="W26" i="1" s="1"/>
  <c r="U13" i="1"/>
  <c r="W13" i="1" s="1"/>
  <c r="W33" i="1"/>
  <c r="W31" i="1"/>
  <c r="U2" i="1"/>
  <c r="W30" i="1"/>
  <c r="W6" i="1"/>
  <c r="U33" i="1"/>
  <c r="U22" i="1"/>
  <c r="W22" i="1" s="1"/>
  <c r="U14" i="1"/>
  <c r="W14" i="1" s="1"/>
  <c r="U10" i="1"/>
  <c r="W10" i="1" s="1"/>
  <c r="U8" i="1"/>
  <c r="W8" i="1" s="1"/>
  <c r="W37" i="1"/>
  <c r="W36" i="1"/>
  <c r="U20" i="1"/>
  <c r="W20" i="1" s="1"/>
  <c r="U38" i="1"/>
  <c r="W38" i="1" s="1"/>
  <c r="U24" i="1"/>
  <c r="W24" i="1" s="1"/>
  <c r="U12" i="1"/>
  <c r="W12" i="1" s="1"/>
  <c r="U17" i="1"/>
  <c r="W17" i="1" s="1"/>
  <c r="U16" i="1"/>
  <c r="W16" i="1" s="1"/>
  <c r="U45" i="1"/>
  <c r="W45" i="1" s="1"/>
  <c r="U28" i="1"/>
  <c r="W28" i="1" s="1"/>
  <c r="U15" i="1"/>
  <c r="W15" i="1" s="1"/>
  <c r="U3" i="1"/>
  <c r="W3" i="1" s="1"/>
  <c r="U19" i="1"/>
  <c r="W19" i="1" s="1"/>
  <c r="U18" i="1"/>
  <c r="W18" i="1" s="1"/>
  <c r="U23" i="1"/>
  <c r="W23" i="1" s="1"/>
  <c r="U11" i="1"/>
  <c r="X11" i="1" s="1"/>
  <c r="U35" i="1"/>
  <c r="X35" i="1" s="1"/>
  <c r="U21" i="1"/>
  <c r="W21" i="1" s="1"/>
  <c r="U9" i="1"/>
  <c r="W9" i="1" s="1"/>
  <c r="W46" i="1" l="1"/>
</calcChain>
</file>

<file path=xl/sharedStrings.xml><?xml version="1.0" encoding="utf-8"?>
<sst xmlns="http://schemas.openxmlformats.org/spreadsheetml/2006/main" count="461" uniqueCount="254">
  <si>
    <t>S. No.</t>
  </si>
  <si>
    <t>CAB SHORT NO.</t>
  </si>
  <si>
    <t>VEHICLE NUMBER</t>
  </si>
  <si>
    <t>VEHICLE TYPE</t>
  </si>
  <si>
    <t>MODEL YEAR</t>
  </si>
  <si>
    <t>VEHICLE OWNER</t>
  </si>
  <si>
    <t>DRIVER NAME</t>
  </si>
  <si>
    <t>EMP CODE</t>
  </si>
  <si>
    <t>END USER</t>
  </si>
  <si>
    <t>RENT TYPE</t>
  </si>
  <si>
    <t>Start Km</t>
  </si>
  <si>
    <t>End Km</t>
  </si>
  <si>
    <t>Total Km.</t>
  </si>
  <si>
    <t>MILEAGE IN KM.</t>
  </si>
  <si>
    <t>FUEL EXPENSE</t>
  </si>
  <si>
    <t>VEHICLE MAINTENANCE</t>
  </si>
  <si>
    <t>STATE TAX</t>
  </si>
  <si>
    <t>FAST TAG/MCD/PARKING</t>
  </si>
  <si>
    <t>RENT &amp; DEPRECIATION</t>
  </si>
  <si>
    <t>CTC (Driver Salary/Cost)</t>
  </si>
  <si>
    <t>TOTAL EXPENSE</t>
  </si>
  <si>
    <t>HKI INVOICE AMT.</t>
  </si>
  <si>
    <t>NET PROFIT AMT.</t>
  </si>
  <si>
    <t>NET LOSS AMT</t>
  </si>
  <si>
    <t>Remarks</t>
  </si>
  <si>
    <t>1637</t>
  </si>
  <si>
    <t>HR 55BC 1637</t>
  </si>
  <si>
    <t>HYCROSS</t>
  </si>
  <si>
    <t>HKI</t>
  </si>
  <si>
    <t>Charan</t>
  </si>
  <si>
    <t>0338</t>
  </si>
  <si>
    <t>HIDAKA PRECISION TOOLS INDIA PVT. LTD.</t>
  </si>
  <si>
    <t>Fix Monthly</t>
  </si>
  <si>
    <t>5787</t>
  </si>
  <si>
    <t>HR-55AK-5787</t>
  </si>
  <si>
    <t>CRYSTA</t>
  </si>
  <si>
    <t xml:space="preserve">Dilber </t>
  </si>
  <si>
    <t>0335</t>
  </si>
  <si>
    <t>AOTS</t>
  </si>
  <si>
    <t>3356</t>
  </si>
  <si>
    <t>HR55AZ3356</t>
  </si>
  <si>
    <t>Mantu</t>
  </si>
  <si>
    <t>1023</t>
  </si>
  <si>
    <t>Japan High Speed Rail Electric Engineering Co., Ltd.</t>
  </si>
  <si>
    <t>3898</t>
  </si>
  <si>
    <t>HR 55 BA 3898</t>
  </si>
  <si>
    <t>AMAZE</t>
  </si>
  <si>
    <t>Rajbir</t>
  </si>
  <si>
    <t>1056</t>
  </si>
  <si>
    <t>NS Instruments India Private Limited..</t>
  </si>
  <si>
    <t>8882</t>
  </si>
  <si>
    <t>HR 26 FZ 8882</t>
  </si>
  <si>
    <t>ELIVATE</t>
  </si>
  <si>
    <t>Suresh Yadav</t>
  </si>
  <si>
    <t>1073</t>
  </si>
  <si>
    <t>HONDA FINANCE INDIA PRIVATE LIMITED</t>
  </si>
  <si>
    <t>3560</t>
  </si>
  <si>
    <t>HR55AZ 3560</t>
  </si>
  <si>
    <t>Dukhiram</t>
  </si>
  <si>
    <t>1064</t>
  </si>
  <si>
    <t>TOKYO CONSULTING FIRM PVT LTD</t>
  </si>
  <si>
    <t>5093</t>
  </si>
  <si>
    <t>HR 55AG 5093</t>
  </si>
  <si>
    <t>BRV</t>
  </si>
  <si>
    <t>Deepak New</t>
  </si>
  <si>
    <t>1071</t>
  </si>
  <si>
    <t>HONDA INDIA FOUNDATION PRIVATE LIMITED</t>
  </si>
  <si>
    <t>5921</t>
  </si>
  <si>
    <t>HR-55-AL-5921</t>
  </si>
  <si>
    <t>LOKESH</t>
  </si>
  <si>
    <t>SUNIL DUTT</t>
  </si>
  <si>
    <t>1036</t>
  </si>
  <si>
    <t>TPR Autoparts Mfg. India Pvt. Ltd.</t>
  </si>
  <si>
    <t>8495</t>
  </si>
  <si>
    <t>HR55AL8495</t>
  </si>
  <si>
    <t>XL6</t>
  </si>
  <si>
    <t>Ashwani</t>
  </si>
  <si>
    <t>1003</t>
  </si>
  <si>
    <t>NS INDIA DESIGN &amp; TRADING PRIVATE LTD</t>
  </si>
  <si>
    <t>8938</t>
  </si>
  <si>
    <t>HR-66C-8938</t>
  </si>
  <si>
    <t>Lokesh</t>
  </si>
  <si>
    <t>Basant</t>
  </si>
  <si>
    <t>0193</t>
  </si>
  <si>
    <t>1538</t>
  </si>
  <si>
    <t>HR 66D 1538</t>
  </si>
  <si>
    <t>Rakesh</t>
  </si>
  <si>
    <t>0182</t>
  </si>
  <si>
    <t>NIPPON STEEL PIPE INDIA PVT LTD</t>
  </si>
  <si>
    <t>0292</t>
  </si>
  <si>
    <t>HR 66C 0292</t>
  </si>
  <si>
    <t>Crysta</t>
  </si>
  <si>
    <t>Raman</t>
  </si>
  <si>
    <t>Kailash</t>
  </si>
  <si>
    <t>1010</t>
  </si>
  <si>
    <t>0944</t>
  </si>
  <si>
    <t>HR 66 C 0944</t>
  </si>
  <si>
    <t>Deepak Pandit</t>
  </si>
  <si>
    <t>1026</t>
  </si>
  <si>
    <t>1096</t>
  </si>
  <si>
    <t>HR-55AR-1096</t>
  </si>
  <si>
    <t>Rakesh Tamta</t>
  </si>
  <si>
    <t>1007</t>
  </si>
  <si>
    <t>4866</t>
  </si>
  <si>
    <t>HR 55 AX 4866</t>
  </si>
  <si>
    <t>Deepak 2</t>
  </si>
  <si>
    <t>1062</t>
  </si>
  <si>
    <t>Metal One Corporation India Private Limited</t>
  </si>
  <si>
    <t>1194</t>
  </si>
  <si>
    <t>HR 55AX 1194</t>
  </si>
  <si>
    <t>Gurfan</t>
  </si>
  <si>
    <t>1060</t>
  </si>
  <si>
    <t>5895</t>
  </si>
  <si>
    <t>HR26 EW 5895</t>
  </si>
  <si>
    <t>Bhim</t>
  </si>
  <si>
    <t>0405</t>
  </si>
  <si>
    <t>THE YOMIURI SHIMBUN..</t>
  </si>
  <si>
    <t>7616</t>
  </si>
  <si>
    <t>HR-26FB-7616</t>
  </si>
  <si>
    <t>Anil</t>
  </si>
  <si>
    <t>1039</t>
  </si>
  <si>
    <t>Ito Electronic ( India ) Pvt. Ltd</t>
  </si>
  <si>
    <t>2987</t>
  </si>
  <si>
    <t>HR 66C 2987</t>
  </si>
  <si>
    <t>Kamal Kishor</t>
  </si>
  <si>
    <t>1075</t>
  </si>
  <si>
    <t>9469</t>
  </si>
  <si>
    <t>HR47E 9469</t>
  </si>
  <si>
    <t>Yogesh</t>
  </si>
  <si>
    <t>Surinder  Yadav</t>
  </si>
  <si>
    <t>0467</t>
  </si>
  <si>
    <t>5680</t>
  </si>
  <si>
    <t>HR-47F-5680</t>
  </si>
  <si>
    <t>TOYOTA RUMION</t>
  </si>
  <si>
    <t>Shyamlal</t>
  </si>
  <si>
    <t>1053</t>
  </si>
  <si>
    <t>1428</t>
  </si>
  <si>
    <t>HR 55 AX 1428</t>
  </si>
  <si>
    <t>Suzuki invicto</t>
  </si>
  <si>
    <t>Surinder Rawat</t>
  </si>
  <si>
    <t>0468</t>
  </si>
  <si>
    <t>1040</t>
  </si>
  <si>
    <t>HR-47F-1040</t>
  </si>
  <si>
    <t>Harish</t>
  </si>
  <si>
    <t>1051</t>
  </si>
  <si>
    <t>DAIDO D.M.S INDIA PVT LTD</t>
  </si>
  <si>
    <t>2522</t>
  </si>
  <si>
    <t>UK03TA2522</t>
  </si>
  <si>
    <t>ERTIGA</t>
  </si>
  <si>
    <t>Pawan</t>
  </si>
  <si>
    <t xml:space="preserve">Shyam shankar </t>
  </si>
  <si>
    <t>1063</t>
  </si>
  <si>
    <t>1982</t>
  </si>
  <si>
    <t>HR 55AH1982</t>
  </si>
  <si>
    <t>Sunil Kumar</t>
  </si>
  <si>
    <t>1076</t>
  </si>
  <si>
    <t>Aisan Industry India Pvt. Ltd</t>
  </si>
  <si>
    <t>8299</t>
  </si>
  <si>
    <t>HR 55 BD 8299</t>
  </si>
  <si>
    <t>Surender Negi</t>
  </si>
  <si>
    <t>1080</t>
  </si>
  <si>
    <t>Liaison office in India – Kawata Mfg Co., Ltd.</t>
  </si>
  <si>
    <t>1846</t>
  </si>
  <si>
    <t>HR-55AL-1846</t>
  </si>
  <si>
    <t>Randhir</t>
  </si>
  <si>
    <t>Spot</t>
  </si>
  <si>
    <t>4572</t>
  </si>
  <si>
    <t>HR-66B-4572</t>
  </si>
  <si>
    <t>SURESH RAM</t>
  </si>
  <si>
    <t>0353</t>
  </si>
  <si>
    <t>8668</t>
  </si>
  <si>
    <t>HR-55AC-8668</t>
  </si>
  <si>
    <t>Jeewan</t>
  </si>
  <si>
    <t>1070</t>
  </si>
  <si>
    <t>HKJ</t>
  </si>
  <si>
    <t>5134</t>
  </si>
  <si>
    <t>HR-55AF-5134</t>
  </si>
  <si>
    <t>Durga Prasad</t>
  </si>
  <si>
    <t>1069</t>
  </si>
  <si>
    <t>3603</t>
  </si>
  <si>
    <t>HR-55AH-3603</t>
  </si>
  <si>
    <t>BHUPENDER</t>
  </si>
  <si>
    <t>1047</t>
  </si>
  <si>
    <t>3526</t>
  </si>
  <si>
    <t>HR 55AG 3526</t>
  </si>
  <si>
    <t>Vishnu Paswan</t>
  </si>
  <si>
    <t>0312</t>
  </si>
  <si>
    <t>2477</t>
  </si>
  <si>
    <t>HR-55AC-2477</t>
  </si>
  <si>
    <t>Laldev</t>
  </si>
  <si>
    <t>1077</t>
  </si>
  <si>
    <t>8939</t>
  </si>
  <si>
    <t>HR 55AH 8939</t>
  </si>
  <si>
    <t>DZIRE</t>
  </si>
  <si>
    <t>Amit</t>
  </si>
  <si>
    <t>1066</t>
  </si>
  <si>
    <t>2373</t>
  </si>
  <si>
    <t>HR 66 C 2373</t>
  </si>
  <si>
    <t>Ajeet</t>
  </si>
  <si>
    <t>1032</t>
  </si>
  <si>
    <t>0471</t>
  </si>
  <si>
    <t>HR-55AB-0471</t>
  </si>
  <si>
    <t>Suresh Singh</t>
  </si>
  <si>
    <t>2856</t>
  </si>
  <si>
    <t>HR 66 C 2856</t>
  </si>
  <si>
    <t>Madan</t>
  </si>
  <si>
    <t>0328</t>
  </si>
  <si>
    <t>Driver</t>
  </si>
  <si>
    <t>ONLY DRIVER- SU</t>
  </si>
  <si>
    <t>Sutesh</t>
  </si>
  <si>
    <t>1079</t>
  </si>
  <si>
    <t>ONLY DRIVER-CH</t>
  </si>
  <si>
    <t>Chandan</t>
  </si>
  <si>
    <t>0472</t>
  </si>
  <si>
    <t>ONLY DRIVER-DAL</t>
  </si>
  <si>
    <t>Dalraj</t>
  </si>
  <si>
    <t>0417</t>
  </si>
  <si>
    <t>ONLY DRIVER-DI</t>
  </si>
  <si>
    <t>Dinesh</t>
  </si>
  <si>
    <t>0453</t>
  </si>
  <si>
    <t>4206</t>
  </si>
  <si>
    <t>HR 55 BB 4206</t>
  </si>
  <si>
    <t>Amrender</t>
  </si>
  <si>
    <t>1031</t>
  </si>
  <si>
    <t>4440</t>
  </si>
  <si>
    <t>HR-55AG-4440</t>
  </si>
  <si>
    <t>Shivam</t>
  </si>
  <si>
    <t>1078</t>
  </si>
  <si>
    <t>1451</t>
  </si>
  <si>
    <t>City</t>
  </si>
  <si>
    <t>AKRAMUL HOSSAIN</t>
  </si>
  <si>
    <t>Spair Driver/Car</t>
  </si>
  <si>
    <t>Invoice Prepared in August (Bifurcated Amount of July)</t>
  </si>
  <si>
    <t>HR 55AG 1451</t>
  </si>
  <si>
    <t>1082</t>
  </si>
  <si>
    <t>HCIL,HKJ</t>
  </si>
  <si>
    <t>HCIL</t>
  </si>
  <si>
    <t>MATSUKAMI SAN, HONDA DIGITAL</t>
  </si>
  <si>
    <t>HKJ,SZK</t>
  </si>
  <si>
    <t>HONDA MOTORS,HCIL, SUMLUCK, HKJ</t>
  </si>
  <si>
    <t>HKJ,GOSHI</t>
  </si>
  <si>
    <t>HKJ,GOSHI,TPR</t>
  </si>
  <si>
    <t>HONDA MOTORS,EGID,HKJ</t>
  </si>
  <si>
    <t>2 months and 15 days at HCIL, and 15 days at HKJ.</t>
  </si>
  <si>
    <t>Grand Total</t>
  </si>
  <si>
    <t>NET PROFIT AMT</t>
  </si>
  <si>
    <t>NET LOSS AMT.</t>
  </si>
  <si>
    <t>FUEL EXPENSE.</t>
  </si>
  <si>
    <t>VEHICLE MAINTENANCE.</t>
  </si>
  <si>
    <t>STATE TAX.</t>
  </si>
  <si>
    <t>FAST TAG/MCD/PARKING.</t>
  </si>
  <si>
    <t>RENT &amp; DEPRECIATION.</t>
  </si>
  <si>
    <t>CTC (Driver Salary/Cost).</t>
  </si>
  <si>
    <t>Cab 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</si>
</sst>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1" formatCode="_ * #,##0_ ;_ * \-#,##0_ ;_ * &quot;-&quot;_ ;_ @_ "/>
    <numFmt numFmtId="44" formatCode="_ &quot;₹&quot;\ * #,##0.00_ ;_ &quot;₹&quot;\ * \-#,##0.00_ ;_ &quot;₹&quot;\ * &quot;-&quot;??_ ;_ @_ "/>
    <numFmt numFmtId="43" formatCode="_ * #,##0.00_ ;_ * \-#,##0.00_ ;_ * &quot;-&quot;??_ ;_ @_ "/>
    <numFmt numFmtId="164" formatCode="&quot;₹&quot;\ #,##0.00"/>
    <numFmt numFmtId="165" formatCode="_(&quot;$&quot;* #,##0.00_);_(&quot;$&quot;* \(#,##0.00\);_(&quot;$&quot;* &quot;-&quot;??_);_(@_)"/>
    <numFmt numFmtId="166" formatCode="_-* #,##0_-;\-* #,##0_-;_-* &quot;-&quot;_-;_-@_-"/>
    <numFmt numFmtId="167" formatCode="_-* #,##0.00_-;\-* #,##0.00_-;_-* &quot;-&quot;??_-;_-@_-"/>
  </numFmts>
  <fonts count="23">
    <font>
      <sz val="11"/>
      <color theme="1"/>
      <name val="Aptos Narrow"/>
      <family val="2"/>
      <scheme val="minor"/>
    </font>
    <font>
      <sz val="11"/>
      <color theme="1"/>
      <name val="Aptos Narrow"/>
      <family val="2"/>
      <scheme val="minor"/>
    </font>
    <font>
      <b/>
      <sz val="14"/>
      <color theme="5" tint="-0.249977111117893"/>
      <name val="Aptos Narrow"/>
      <family val="2"/>
      <scheme val="minor"/>
    </font>
    <font>
      <sz val="14"/>
      <color theme="1"/>
      <name val="Amasis MT Pro"/>
      <family val="1"/>
    </font>
    <font>
      <sz val="14"/>
      <color theme="1"/>
      <name val="Aptos Narrow"/>
      <family val="2"/>
      <scheme val="minor"/>
    </font>
    <font>
      <sz val="16"/>
      <color theme="1"/>
      <name val="Calibri"/>
      <family val="2"/>
    </font>
    <font>
      <sz val="11"/>
      <color indexed="8"/>
      <name val="Calibri"/>
      <family val="2"/>
    </font>
    <font>
      <sz val="10"/>
      <name val="Arial"/>
      <family val="2"/>
    </font>
    <font>
      <u/>
      <sz val="10"/>
      <color indexed="12"/>
      <name val="Arial"/>
      <family val="2"/>
    </font>
    <font>
      <sz val="10"/>
      <color indexed="8"/>
      <name val="Arial"/>
      <family val="2"/>
    </font>
    <font>
      <sz val="11"/>
      <color indexed="8"/>
      <name val="Calibri"/>
      <family val="3"/>
      <charset val="128"/>
    </font>
    <font>
      <sz val="11"/>
      <color theme="1"/>
      <name val="Aptos Narrow"/>
      <family val="3"/>
      <charset val="128"/>
      <scheme val="minor"/>
    </font>
    <font>
      <sz val="11"/>
      <color indexed="8"/>
      <name val="Aptos Narrow"/>
      <family val="2"/>
      <scheme val="minor"/>
    </font>
    <font>
      <sz val="16"/>
      <color theme="1"/>
      <name val="Calibri"/>
      <family val="2"/>
      <charset val="128"/>
    </font>
    <font>
      <u/>
      <sz val="11"/>
      <color theme="10"/>
      <name val="Aptos Narrow"/>
      <family val="2"/>
      <scheme val="minor"/>
    </font>
    <font>
      <u/>
      <sz val="16"/>
      <color theme="10"/>
      <name val="Calibri"/>
      <family val="2"/>
      <charset val="128"/>
    </font>
    <font>
      <sz val="11"/>
      <color theme="1"/>
      <name val="Aptos Narrow"/>
      <family val="2"/>
      <charset val="128"/>
      <scheme val="minor"/>
    </font>
    <font>
      <sz val="11"/>
      <color theme="1"/>
      <name val="Aptos Display"/>
      <family val="3"/>
      <charset val="128"/>
      <scheme val="major"/>
    </font>
    <font>
      <sz val="11"/>
      <color theme="1"/>
      <name val="Aptos Display"/>
      <family val="1"/>
      <scheme val="major"/>
    </font>
    <font>
      <sz val="11"/>
      <color theme="1"/>
      <name val="Calibri"/>
      <family val="2"/>
    </font>
    <font>
      <sz val="11"/>
      <color theme="1"/>
      <name val="Calibri"/>
      <family val="2"/>
      <charset val="128"/>
    </font>
    <font>
      <sz val="11"/>
      <color theme="1"/>
      <name val="HGS創英角ｺﾞｼｯｸUB"/>
      <family val="3"/>
      <charset val="128"/>
    </font>
    <font>
      <sz val="11"/>
      <color theme="1"/>
      <name val="HGS創英角ｺﾞｼｯｸUB"/>
    </font>
  </fonts>
  <fills count="3">
    <fill>
      <patternFill patternType="none"/>
    </fill>
    <fill>
      <patternFill patternType="gray125"/>
    </fill>
    <fill>
      <patternFill patternType="solid">
        <fgColor theme="0"/>
        <bgColor indexed="64"/>
      </patternFill>
    </fill>
  </fills>
  <borders count="19">
    <border>
      <left/>
      <right/>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s>
  <cellStyleXfs count="1979">
    <xf numFmtId="0" fontId="0" fillId="0" borderId="0"/>
    <xf numFmtId="0" fontId="5" fillId="0" borderId="0"/>
    <xf numFmtId="0" fontId="7" fillId="0" borderId="0" applyNumberFormat="0" applyFill="0" applyBorder="0" applyAlignment="0" applyProtection="0"/>
    <xf numFmtId="43" fontId="5" fillId="0" borderId="0" applyFont="0" applyFill="0" applyBorder="0" applyAlignment="0" applyProtection="0"/>
    <xf numFmtId="166" fontId="5" fillId="0" borderId="0" applyFont="0" applyFill="0" applyBorder="0" applyAlignment="0" applyProtection="0"/>
    <xf numFmtId="166" fontId="11" fillId="0" borderId="0" applyFont="0" applyFill="0" applyBorder="0" applyAlignment="0" applyProtection="0"/>
    <xf numFmtId="38" fontId="6" fillId="0" borderId="0" applyFont="0" applyFill="0" applyBorder="0" applyAlignment="0" applyProtection="0">
      <alignment vertical="center"/>
    </xf>
    <xf numFmtId="38" fontId="6" fillId="0" borderId="0" applyFont="0" applyFill="0" applyBorder="0" applyAlignment="0" applyProtection="0">
      <alignment vertical="center"/>
    </xf>
    <xf numFmtId="38" fontId="10" fillId="0" borderId="0" applyFont="0" applyFill="0" applyBorder="0" applyAlignment="0" applyProtection="0">
      <alignment vertical="center"/>
    </xf>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38" fontId="12" fillId="0" borderId="0" applyFont="0" applyFill="0" applyBorder="0" applyAlignment="0" applyProtection="0">
      <alignment vertical="center"/>
    </xf>
    <xf numFmtId="38" fontId="11" fillId="0" borderId="0" applyFont="0" applyFill="0" applyBorder="0" applyAlignment="0" applyProtection="0">
      <alignment vertical="center"/>
    </xf>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38" fontId="6" fillId="0" borderId="0" applyFont="0" applyFill="0" applyBorder="0" applyAlignment="0" applyProtection="0">
      <alignment vertical="center"/>
    </xf>
    <xf numFmtId="38" fontId="6" fillId="0" borderId="0" applyFont="0" applyFill="0" applyBorder="0" applyAlignment="0" applyProtection="0">
      <alignment vertical="center"/>
    </xf>
    <xf numFmtId="38" fontId="6" fillId="0" borderId="0" applyFont="0" applyFill="0" applyBorder="0" applyAlignment="0" applyProtection="0">
      <alignment vertical="center"/>
    </xf>
    <xf numFmtId="38" fontId="10" fillId="0" borderId="0" applyFont="0" applyFill="0" applyBorder="0" applyAlignment="0" applyProtection="0">
      <alignment vertical="center"/>
    </xf>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38" fontId="12" fillId="0" borderId="0" applyFont="0" applyFill="0" applyBorder="0" applyAlignment="0" applyProtection="0">
      <alignment vertical="center"/>
    </xf>
    <xf numFmtId="38" fontId="11" fillId="0" borderId="0" applyFont="0" applyFill="0" applyBorder="0" applyAlignment="0" applyProtection="0">
      <alignment vertical="center"/>
    </xf>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7"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7"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166" fontId="13" fillId="0" borderId="0" applyFont="0" applyFill="0" applyBorder="0" applyAlignment="0" applyProtection="0"/>
    <xf numFmtId="41" fontId="7"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7" fillId="0" borderId="0" applyFont="0" applyFill="0" applyBorder="0" applyAlignment="0" applyProtection="0"/>
    <xf numFmtId="41" fontId="1" fillId="0" borderId="0" applyFont="0" applyFill="0" applyBorder="0" applyAlignment="0" applyProtection="0"/>
    <xf numFmtId="166" fontId="13" fillId="0" borderId="0" applyFont="0" applyFill="0" applyBorder="0" applyAlignment="0" applyProtection="0"/>
    <xf numFmtId="166" fontId="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2" fillId="0" borderId="0" applyFont="0" applyFill="0" applyBorder="0" applyAlignment="0" applyProtection="0"/>
    <xf numFmtId="43" fontId="1"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2" fillId="0" borderId="0" applyFont="0" applyFill="0" applyBorder="0" applyAlignment="0" applyProtection="0"/>
    <xf numFmtId="43" fontId="1"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7"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7"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167" fontId="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167" fontId="1"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7"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0"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0" fillId="0" borderId="0" applyFont="0" applyFill="0" applyBorder="0" applyAlignment="0" applyProtection="0"/>
    <xf numFmtId="43" fontId="6"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0" fillId="0" borderId="0" applyFont="0" applyFill="0" applyBorder="0" applyAlignment="0" applyProtection="0"/>
    <xf numFmtId="43" fontId="7" fillId="0" borderId="0" applyFont="0" applyFill="0" applyBorder="0" applyAlignment="0" applyProtection="0"/>
    <xf numFmtId="43" fontId="10"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0"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0"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0"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0"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0"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0"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1" fillId="0" borderId="0" applyFont="0" applyFill="0" applyBorder="0" applyAlignment="0" applyProtection="0"/>
    <xf numFmtId="43" fontId="12" fillId="0" borderId="0" applyFont="0" applyFill="0" applyBorder="0" applyAlignment="0" applyProtection="0"/>
    <xf numFmtId="43" fontId="11" fillId="0" borderId="0" applyFont="0" applyFill="0" applyBorder="0" applyAlignment="0" applyProtection="0"/>
    <xf numFmtId="43" fontId="12" fillId="0" borderId="0" applyFont="0" applyFill="0" applyBorder="0" applyAlignment="0" applyProtection="0"/>
    <xf numFmtId="43" fontId="11"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5"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0" fontId="8" fillId="0" borderId="0" applyNumberFormat="0" applyFill="0" applyBorder="0" applyAlignment="0" applyProtection="0">
      <alignment vertical="top"/>
      <protection locked="0"/>
    </xf>
    <xf numFmtId="0" fontId="8" fillId="0" borderId="0" applyNumberFormat="0" applyFill="0" applyBorder="0" applyAlignment="0" applyProtection="0">
      <alignment vertical="top"/>
      <protection locked="0"/>
    </xf>
    <xf numFmtId="0" fontId="14" fillId="0" borderId="0" applyNumberFormat="0" applyFill="0" applyBorder="0" applyAlignment="0" applyProtection="0"/>
    <xf numFmtId="0" fontId="15"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9" fillId="0" borderId="0">
      <alignment vertical="top"/>
    </xf>
    <xf numFmtId="0" fontId="13" fillId="0" borderId="0"/>
    <xf numFmtId="0" fontId="1" fillId="0" borderId="0"/>
    <xf numFmtId="0" fontId="13" fillId="0" borderId="0"/>
    <xf numFmtId="0" fontId="11" fillId="0" borderId="0">
      <alignment vertical="center"/>
    </xf>
    <xf numFmtId="0" fontId="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6" fillId="0" borderId="0"/>
    <xf numFmtId="0" fontId="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6" fillId="0" borderId="0"/>
    <xf numFmtId="0" fontId="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6" fillId="0" borderId="0"/>
    <xf numFmtId="0" fontId="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6" fillId="0" borderId="0"/>
    <xf numFmtId="0" fontId="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6" fillId="0" borderId="0"/>
    <xf numFmtId="0" fontId="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6" fillId="0" borderId="0"/>
    <xf numFmtId="0" fontId="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6" fillId="0" borderId="0"/>
    <xf numFmtId="0" fontId="1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7" fillId="0" borderId="0"/>
    <xf numFmtId="0" fontId="16" fillId="0" borderId="0">
      <alignment vertical="center"/>
    </xf>
    <xf numFmtId="0" fontId="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6" fillId="0" borderId="0"/>
    <xf numFmtId="0" fontId="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6" fillId="0" borderId="0"/>
    <xf numFmtId="0" fontId="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6" fillId="0" borderId="0"/>
    <xf numFmtId="0" fontId="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6" fillId="0" borderId="0"/>
    <xf numFmtId="0" fontId="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6" fillId="0" borderId="0"/>
    <xf numFmtId="0" fontId="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6" fillId="0" borderId="0"/>
    <xf numFmtId="0" fontId="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6" fillId="0" borderId="0"/>
    <xf numFmtId="0" fontId="11" fillId="0" borderId="0"/>
    <xf numFmtId="0" fontId="1" fillId="0" borderId="0"/>
    <xf numFmtId="0" fontId="1" fillId="0" borderId="0"/>
    <xf numFmtId="0" fontId="1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8" fillId="0" borderId="0"/>
    <xf numFmtId="0" fontId="1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1" fillId="0" borderId="0"/>
    <xf numFmtId="0" fontId="1" fillId="0" borderId="0"/>
    <xf numFmtId="0" fontId="1" fillId="0" borderId="0"/>
    <xf numFmtId="0" fontId="1" fillId="0" borderId="0"/>
    <xf numFmtId="0" fontId="1" fillId="0" borderId="0"/>
    <xf numFmtId="0" fontId="1" fillId="0" borderId="0"/>
    <xf numFmtId="0" fontId="11" fillId="0" borderId="0"/>
    <xf numFmtId="0" fontId="1" fillId="0" borderId="0"/>
    <xf numFmtId="0" fontId="1" fillId="0" borderId="0"/>
    <xf numFmtId="0" fontId="1" fillId="0" borderId="0"/>
    <xf numFmtId="0" fontId="1" fillId="0" borderId="0"/>
    <xf numFmtId="0" fontId="1" fillId="0" borderId="0"/>
    <xf numFmtId="0" fontId="7" fillId="0" borderId="0"/>
    <xf numFmtId="0" fontId="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7" fillId="0" borderId="0"/>
    <xf numFmtId="0" fontId="7" fillId="0" borderId="0"/>
    <xf numFmtId="0" fontId="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1" fillId="0" borderId="0"/>
    <xf numFmtId="0" fontId="7" fillId="0" borderId="0"/>
    <xf numFmtId="0" fontId="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7" fillId="0" borderId="0"/>
    <xf numFmtId="0" fontId="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9" fillId="0" borderId="0"/>
    <xf numFmtId="0" fontId="20" fillId="0" borderId="0"/>
    <xf numFmtId="0" fontId="1" fillId="0" borderId="0"/>
    <xf numFmtId="0" fontId="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7"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10" fillId="0" borderId="0" applyFont="0" applyFill="0" applyBorder="0" applyAlignment="0" applyProtection="0"/>
    <xf numFmtId="9" fontId="7" fillId="0" borderId="0" applyFont="0" applyFill="0" applyBorder="0" applyAlignment="0" applyProtection="0"/>
    <xf numFmtId="9" fontId="12" fillId="0" borderId="0" applyFont="0" applyFill="0" applyBorder="0" applyAlignment="0" applyProtection="0"/>
    <xf numFmtId="9" fontId="11" fillId="0" borderId="0" applyFont="0" applyFill="0" applyBorder="0" applyAlignment="0" applyProtection="0"/>
    <xf numFmtId="9" fontId="7" fillId="0" borderId="0" applyFont="0" applyFill="0" applyBorder="0" applyAlignment="0" applyProtection="0"/>
    <xf numFmtId="9" fontId="11" fillId="0" borderId="0" applyFont="0" applyFill="0" applyBorder="0" applyAlignment="0" applyProtection="0"/>
    <xf numFmtId="9" fontId="12" fillId="0" borderId="0" applyFont="0" applyFill="0" applyBorder="0" applyAlignment="0" applyProtection="0"/>
    <xf numFmtId="9" fontId="1" fillId="0" borderId="0" applyFont="0" applyFill="0" applyBorder="0" applyAlignment="0" applyProtection="0"/>
    <xf numFmtId="0" fontId="7" fillId="0" borderId="0"/>
    <xf numFmtId="0" fontId="21" fillId="0" borderId="0">
      <alignment horizontal="center" vertical="center"/>
    </xf>
    <xf numFmtId="0" fontId="22" fillId="0" borderId="0">
      <alignment horizontal="center" vertical="center"/>
    </xf>
    <xf numFmtId="40" fontId="6" fillId="0" borderId="0" applyFont="0" applyFill="0" applyBorder="0" applyAlignment="0" applyProtection="0">
      <alignment vertical="center"/>
    </xf>
    <xf numFmtId="40" fontId="6" fillId="0" borderId="0" applyFont="0" applyFill="0" applyBorder="0" applyAlignment="0" applyProtection="0">
      <alignment vertical="center"/>
    </xf>
    <xf numFmtId="40" fontId="10" fillId="0" borderId="0" applyFont="0" applyFill="0" applyBorder="0" applyAlignment="0" applyProtection="0">
      <alignment vertical="center"/>
    </xf>
    <xf numFmtId="40" fontId="12" fillId="0" borderId="0" applyFont="0" applyFill="0" applyBorder="0" applyAlignment="0" applyProtection="0">
      <alignment vertical="center"/>
    </xf>
    <xf numFmtId="40" fontId="11" fillId="0" borderId="0" applyFont="0" applyFill="0" applyBorder="0" applyAlignment="0" applyProtection="0">
      <alignment vertical="center"/>
    </xf>
    <xf numFmtId="41" fontId="6" fillId="0" borderId="0" applyFont="0" applyFill="0" applyBorder="0" applyAlignment="0" applyProtection="0"/>
    <xf numFmtId="41" fontId="6" fillId="0" borderId="0" applyFont="0" applyFill="0" applyBorder="0" applyAlignment="0" applyProtection="0"/>
    <xf numFmtId="41" fontId="6" fillId="0" borderId="0" applyFont="0" applyFill="0" applyBorder="0" applyAlignment="0" applyProtection="0"/>
    <xf numFmtId="41" fontId="6" fillId="0" borderId="0" applyFont="0" applyFill="0" applyBorder="0" applyAlignment="0" applyProtection="0"/>
    <xf numFmtId="41" fontId="10" fillId="0" borderId="0" applyFont="0" applyFill="0" applyBorder="0" applyAlignment="0" applyProtection="0"/>
    <xf numFmtId="41" fontId="6" fillId="0" borderId="0" applyFont="0" applyFill="0" applyBorder="0" applyAlignment="0" applyProtection="0"/>
    <xf numFmtId="41" fontId="6" fillId="0" borderId="0" applyFont="0" applyFill="0" applyBorder="0" applyAlignment="0" applyProtection="0"/>
    <xf numFmtId="41" fontId="10" fillId="0" borderId="0" applyFont="0" applyFill="0" applyBorder="0" applyAlignment="0" applyProtection="0"/>
    <xf numFmtId="41" fontId="6" fillId="0" borderId="0" applyFont="0" applyFill="0" applyBorder="0" applyAlignment="0" applyProtection="0"/>
    <xf numFmtId="41" fontId="10" fillId="0" borderId="0" applyFont="0" applyFill="0" applyBorder="0" applyAlignment="0" applyProtection="0"/>
    <xf numFmtId="41" fontId="6" fillId="0" borderId="0" applyFont="0" applyFill="0" applyBorder="0" applyAlignment="0" applyProtection="0"/>
    <xf numFmtId="41" fontId="6" fillId="0" borderId="0" applyFont="0" applyFill="0" applyBorder="0" applyAlignment="0" applyProtection="0"/>
    <xf numFmtId="41" fontId="10" fillId="0" borderId="0" applyFont="0" applyFill="0" applyBorder="0" applyAlignment="0" applyProtection="0"/>
    <xf numFmtId="41" fontId="6" fillId="0" borderId="0" applyFont="0" applyFill="0" applyBorder="0" applyAlignment="0" applyProtection="0"/>
    <xf numFmtId="41" fontId="12" fillId="0" borderId="0" applyFont="0" applyFill="0" applyBorder="0" applyAlignment="0" applyProtection="0"/>
    <xf numFmtId="41" fontId="11"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1" fillId="0" borderId="0" applyFont="0" applyFill="0" applyBorder="0" applyAlignment="0" applyProtection="0"/>
    <xf numFmtId="41" fontId="12" fillId="0" borderId="0" applyFont="0" applyFill="0" applyBorder="0" applyAlignment="0" applyProtection="0"/>
    <xf numFmtId="41" fontId="11"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1" fillId="0" borderId="0" applyFont="0" applyFill="0" applyBorder="0" applyAlignment="0" applyProtection="0"/>
    <xf numFmtId="38" fontId="6" fillId="0" borderId="0" applyFont="0" applyFill="0" applyBorder="0" applyAlignment="0" applyProtection="0">
      <alignment vertical="center"/>
    </xf>
    <xf numFmtId="38" fontId="6" fillId="0" borderId="0" applyFont="0" applyFill="0" applyBorder="0" applyAlignment="0" applyProtection="0">
      <alignment vertical="center"/>
    </xf>
    <xf numFmtId="38" fontId="10" fillId="0" borderId="0" applyFont="0" applyFill="0" applyBorder="0" applyAlignment="0" applyProtection="0">
      <alignment vertical="center"/>
    </xf>
    <xf numFmtId="38" fontId="12" fillId="0" borderId="0" applyFont="0" applyFill="0" applyBorder="0" applyAlignment="0" applyProtection="0">
      <alignment vertical="center"/>
    </xf>
    <xf numFmtId="38" fontId="11" fillId="0" borderId="0" applyFont="0" applyFill="0" applyBorder="0" applyAlignment="0" applyProtection="0">
      <alignment vertical="center"/>
    </xf>
    <xf numFmtId="0" fontId="5" fillId="0" borderId="0"/>
    <xf numFmtId="0" fontId="7" fillId="0" borderId="0"/>
    <xf numFmtId="0" fontId="1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3" fillId="0" borderId="0"/>
    <xf numFmtId="0" fontId="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cellStyleXfs>
  <cellXfs count="39">
    <xf numFmtId="0" fontId="0" fillId="0" borderId="0" xfId="0"/>
    <xf numFmtId="0" fontId="2" fillId="0" borderId="1" xfId="0" applyFont="1" applyBorder="1" applyAlignment="1">
      <alignment horizontal="center"/>
    </xf>
    <xf numFmtId="0" fontId="2" fillId="0" borderId="2" xfId="0" applyFont="1" applyBorder="1" applyAlignment="1">
      <alignment horizontal="center"/>
    </xf>
    <xf numFmtId="0" fontId="2" fillId="0" borderId="2" xfId="0" applyFont="1" applyBorder="1"/>
    <xf numFmtId="0" fontId="2" fillId="0" borderId="3" xfId="0" applyFont="1" applyBorder="1" applyAlignment="1">
      <alignment horizontal="center"/>
    </xf>
    <xf numFmtId="0" fontId="3" fillId="0" borderId="5" xfId="0" quotePrefix="1" applyFont="1" applyBorder="1" applyAlignment="1">
      <alignment horizontal="center"/>
    </xf>
    <xf numFmtId="0" fontId="3" fillId="0" borderId="5" xfId="0" applyFont="1" applyBorder="1" applyAlignment="1">
      <alignment horizontal="center"/>
    </xf>
    <xf numFmtId="0" fontId="3" fillId="2" borderId="5" xfId="0" applyFont="1" applyFill="1" applyBorder="1" applyAlignment="1">
      <alignment horizontal="center"/>
    </xf>
    <xf numFmtId="0" fontId="3" fillId="0" borderId="5" xfId="0" applyFont="1" applyBorder="1"/>
    <xf numFmtId="164" fontId="3" fillId="0" borderId="5" xfId="0" applyNumberFormat="1" applyFont="1" applyBorder="1"/>
    <xf numFmtId="0" fontId="3" fillId="0" borderId="6" xfId="0" applyFont="1" applyBorder="1"/>
    <xf numFmtId="0" fontId="3" fillId="0" borderId="5" xfId="0" applyFont="1" applyBorder="1" applyAlignment="1">
      <alignment horizontal="center" vertical="center"/>
    </xf>
    <xf numFmtId="0" fontId="3" fillId="2" borderId="5" xfId="0" applyFont="1" applyFill="1" applyBorder="1" applyAlignment="1">
      <alignment horizontal="center" vertical="center"/>
    </xf>
    <xf numFmtId="0" fontId="3" fillId="0" borderId="5" xfId="0" quotePrefix="1" applyFont="1" applyBorder="1" applyAlignment="1">
      <alignment horizontal="center" vertical="center"/>
    </xf>
    <xf numFmtId="0" fontId="4" fillId="0" borderId="5" xfId="0" applyFont="1" applyBorder="1"/>
    <xf numFmtId="0" fontId="0" fillId="0" borderId="7" xfId="0" applyBorder="1"/>
    <xf numFmtId="0" fontId="3" fillId="0" borderId="5" xfId="0" applyFont="1" applyFill="1" applyBorder="1" applyAlignment="1">
      <alignment horizontal="center"/>
    </xf>
    <xf numFmtId="0" fontId="3" fillId="0" borderId="5" xfId="0" quotePrefix="1" applyFont="1" applyFill="1" applyBorder="1" applyAlignment="1">
      <alignment horizontal="center"/>
    </xf>
    <xf numFmtId="164" fontId="0" fillId="0" borderId="5" xfId="0" applyNumberFormat="1" applyBorder="1"/>
    <xf numFmtId="164" fontId="0" fillId="0" borderId="2" xfId="0" applyNumberFormat="1" applyBorder="1"/>
    <xf numFmtId="0" fontId="3" fillId="0" borderId="9" xfId="0" applyFont="1" applyBorder="1" applyAlignment="1">
      <alignment horizontal="center"/>
    </xf>
    <xf numFmtId="0" fontId="3" fillId="0" borderId="9" xfId="0" applyNumberFormat="1" applyFont="1" applyBorder="1" applyAlignment="1">
      <alignment horizontal="center"/>
    </xf>
    <xf numFmtId="0" fontId="0" fillId="0" borderId="9" xfId="0" applyNumberFormat="1" applyBorder="1"/>
    <xf numFmtId="164" fontId="0" fillId="0" borderId="9" xfId="0" applyNumberFormat="1" applyBorder="1"/>
    <xf numFmtId="0" fontId="0" fillId="0" borderId="4" xfId="0" applyBorder="1" applyAlignment="1">
      <alignment horizontal="center"/>
    </xf>
    <xf numFmtId="0" fontId="0" fillId="0" borderId="8" xfId="0" applyBorder="1" applyAlignment="1">
      <alignment horizontal="center"/>
    </xf>
    <xf numFmtId="0" fontId="0" fillId="0" borderId="0" xfId="0" applyAlignment="1">
      <alignment horizontal="center"/>
    </xf>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0" fontId="0" fillId="0" borderId="0" xfId="0" pivotButton="1"/>
    <xf numFmtId="0" fontId="0" fillId="0" borderId="0" xfId="0" applyAlignment="1">
      <alignment horizontal="left"/>
    </xf>
    <xf numFmtId="0" fontId="0" fillId="0" borderId="0" xfId="0" applyNumberFormat="1"/>
  </cellXfs>
  <cellStyles count="1979">
    <cellStyle name="=C:\WINNT\SYSTEM32\COMMAND.COM" xfId="2" xr:uid="{BACADC44-CB1E-4F78-8686-44A91FD0BAAE}"/>
    <cellStyle name="Comma [0] 2" xfId="5" xr:uid="{9AF7345C-D20B-43EA-A437-4BDECF5225E9}"/>
    <cellStyle name="Comma [0] 2 2" xfId="6" xr:uid="{F792C73B-A4CB-4533-B846-E2905BD53E42}"/>
    <cellStyle name="Comma [0] 2 2 2" xfId="7" xr:uid="{D5FD11C5-E878-4218-9664-FD1B83E8DEEA}"/>
    <cellStyle name="Comma [0] 2 2 2 2" xfId="8" xr:uid="{1DA849F9-5886-4253-9DE0-B44370FB0897}"/>
    <cellStyle name="Comma [0] 2 2 3" xfId="9" xr:uid="{9D9667CF-ECA7-4DBD-8100-7B705DF3FE46}"/>
    <cellStyle name="Comma [0] 2 2 3 2" xfId="10" xr:uid="{17D2242C-D702-4B47-A4C9-A6945218C882}"/>
    <cellStyle name="Comma [0] 2 2 3 2 2" xfId="11" xr:uid="{8C66A9CB-6AED-48C0-9FCC-A3EBF7B03467}"/>
    <cellStyle name="Comma [0] 2 2 3 3" xfId="12" xr:uid="{14572C35-60A7-4326-B1AB-C8539348C5AB}"/>
    <cellStyle name="Comma [0] 2 2 3 4" xfId="13" xr:uid="{B698DD47-7877-4A0D-B576-EFC5E575D438}"/>
    <cellStyle name="Comma [0] 2 2 4" xfId="14" xr:uid="{2C295836-A586-4993-A9C8-9F3755B33E2A}"/>
    <cellStyle name="Comma [0] 2 2 4 2" xfId="15" xr:uid="{240C431E-F568-4121-BB30-D95B125E5335}"/>
    <cellStyle name="Comma [0] 2 2 5" xfId="16" xr:uid="{87BAD6ED-41AA-4DC6-810E-435005DCE591}"/>
    <cellStyle name="Comma [0] 2 2 6" xfId="17" xr:uid="{007199FC-24B5-42A4-8ADE-270B4E92F125}"/>
    <cellStyle name="Comma [0] 2 2 7" xfId="18" xr:uid="{B48970E1-632B-4896-961D-18484C359DA4}"/>
    <cellStyle name="Comma [0] 2 3" xfId="19" xr:uid="{CC7C3772-0C9F-493F-BB85-628E6DD00BDE}"/>
    <cellStyle name="Comma [0] 2 3 2" xfId="20" xr:uid="{0A952DD5-3783-4DEB-B784-854430A204CB}"/>
    <cellStyle name="Comma [0] 2 4" xfId="21" xr:uid="{BCA9E8EE-148A-47E5-B7C0-37D70D821DAE}"/>
    <cellStyle name="Comma [0] 2 4 2" xfId="22" xr:uid="{F128F6D9-1DAE-4596-A6B7-B311DAF1B1E7}"/>
    <cellStyle name="Comma [0] 2 4 2 2" xfId="23" xr:uid="{6BAC3E13-FC6F-4F49-B953-60E618B81495}"/>
    <cellStyle name="Comma [0] 2 4 2 3" xfId="24" xr:uid="{1FE42260-6B6F-4162-B1AD-7B2EBB2D02AA}"/>
    <cellStyle name="Comma [0] 2 4 3" xfId="25" xr:uid="{BB436947-7A55-45BA-81FA-E2320A431E88}"/>
    <cellStyle name="Comma [0] 2 4 4" xfId="26" xr:uid="{B068597F-B906-4FDB-8451-2A4FFF270A76}"/>
    <cellStyle name="Comma [0] 2 5" xfId="27" xr:uid="{68F6F8B8-18FE-4931-9B6A-B3876AB43621}"/>
    <cellStyle name="Comma [0] 2 5 2" xfId="28" xr:uid="{5690024A-DB4F-4A35-8F95-CC2E26DB37BE}"/>
    <cellStyle name="Comma [0] 2 5 2 2" xfId="29" xr:uid="{97EC5BD8-A4E4-4E55-8E9F-0360BC54407F}"/>
    <cellStyle name="Comma [0] 2 5 3" xfId="30" xr:uid="{B0D16AE5-6C11-4738-958E-B88CD0D871C7}"/>
    <cellStyle name="Comma [0] 2 5 4" xfId="31" xr:uid="{D7CEDFAF-A2D5-461D-A369-CF40D6BA72EB}"/>
    <cellStyle name="Comma [0] 2 6" xfId="32" xr:uid="{0BBDF404-E6B6-4647-B92D-985725441A46}"/>
    <cellStyle name="Comma [0] 2 6 2" xfId="33" xr:uid="{68518F8D-D3AC-4FE0-A398-89FCE8DADA8B}"/>
    <cellStyle name="Comma [0] 2 7" xfId="34" xr:uid="{0E0AB7E2-6556-4AE5-906E-B0670D81BA5A}"/>
    <cellStyle name="Comma [0] 2 8" xfId="35" xr:uid="{855A3162-50FE-4E05-B24E-FF69C07EA0EE}"/>
    <cellStyle name="Comma [0] 2 9" xfId="36" xr:uid="{36F560CB-8DE4-4894-B6C2-902767FAB60F}"/>
    <cellStyle name="Comma [0] 3" xfId="37" xr:uid="{2215DE4E-62E1-4C5A-8D47-0E14A9B5D3D3}"/>
    <cellStyle name="Comma [0] 3 2" xfId="38" xr:uid="{D3A399C8-0545-4605-A7C1-F780632D198E}"/>
    <cellStyle name="Comma [0] 3 2 2" xfId="39" xr:uid="{1BFE71BC-EAE6-449E-9CBB-DA5D1F1E12CB}"/>
    <cellStyle name="Comma [0] 3 2 2 2" xfId="40" xr:uid="{362EE0CD-945B-4AD7-BFF7-EC717B53B69D}"/>
    <cellStyle name="Comma [0] 3 2 3" xfId="41" xr:uid="{C9B3DE99-B1EB-4EE2-A1B3-B5E59F49D48C}"/>
    <cellStyle name="Comma [0] 3 2 3 2" xfId="42" xr:uid="{3C76309B-AF74-480F-8AFF-F8B274E54BDD}"/>
    <cellStyle name="Comma [0] 3 2 3 2 2" xfId="43" xr:uid="{3B3A50DD-65C8-425F-A2D1-AD6142BC24C9}"/>
    <cellStyle name="Comma [0] 3 2 3 3" xfId="44" xr:uid="{E2CB0F80-A831-4C57-BB4E-229425D97C08}"/>
    <cellStyle name="Comma [0] 3 2 3 4" xfId="45" xr:uid="{68C32EFF-3431-4963-A391-06CADF258B91}"/>
    <cellStyle name="Comma [0] 3 2 4" xfId="46" xr:uid="{F6B0F974-2073-471F-B4AE-953D0A06A969}"/>
    <cellStyle name="Comma [0] 3 2 4 2" xfId="47" xr:uid="{F5F050B0-4521-4435-A0BB-25E3357CCC6B}"/>
    <cellStyle name="Comma [0] 3 2 5" xfId="48" xr:uid="{B31A8EC0-B3DE-40F5-8062-32F8978A90A2}"/>
    <cellStyle name="Comma [0] 3 2 6" xfId="49" xr:uid="{AAF1EAF6-44C8-48E0-8D96-A5D99E37EF7C}"/>
    <cellStyle name="Comma [0] 3 2 7" xfId="50" xr:uid="{56D89E07-BC28-4A03-B3BD-A570C8598D0A}"/>
    <cellStyle name="Comma [0] 3 2 8" xfId="51" xr:uid="{A68CCABC-878E-4C8C-BD3F-FF9D5E062C26}"/>
    <cellStyle name="Comma [0] 3 3" xfId="52" xr:uid="{BFE549CD-59BB-4195-BC29-B3D365712BF0}"/>
    <cellStyle name="Comma [0] 3 3 2" xfId="53" xr:uid="{49E4D4B2-53B6-483A-909B-D0C55D24FDC7}"/>
    <cellStyle name="Comma [0] 3 4" xfId="54" xr:uid="{71575481-072F-4AD6-B04D-DA7BC2A859DE}"/>
    <cellStyle name="Comma [0] 3 4 2" xfId="55" xr:uid="{5E43BD7A-0897-4DD7-9C9E-326FDD533A30}"/>
    <cellStyle name="Comma [0] 3 4 2 2" xfId="56" xr:uid="{0E769D18-711F-4E16-9D2A-4AB986400388}"/>
    <cellStyle name="Comma [0] 3 4 3" xfId="57" xr:uid="{C1E4F690-FEF1-4A40-AA71-DE76C045C370}"/>
    <cellStyle name="Comma [0] 3 4 4" xfId="58" xr:uid="{6759A6A1-69F2-4BF3-B9BD-CB73AEA4D064}"/>
    <cellStyle name="Comma [0] 3 5" xfId="59" xr:uid="{89B7B6AD-869A-47FC-A5A1-1AA4DD9795A1}"/>
    <cellStyle name="Comma [0] 3 5 2" xfId="60" xr:uid="{E2CC4AF9-DC96-40C4-9289-CDA09FE5B6D0}"/>
    <cellStyle name="Comma [0] 3 6" xfId="61" xr:uid="{9F894B1A-2721-4C0B-BDD8-42668BD68817}"/>
    <cellStyle name="Comma [0] 3 7" xfId="62" xr:uid="{F5FA1B25-8932-4056-B42D-94B288681AAA}"/>
    <cellStyle name="Comma [0] 3 8" xfId="63" xr:uid="{F6A2C205-1097-4E6A-AF65-8729168F0C0C}"/>
    <cellStyle name="Comma [0] 3 9" xfId="64" xr:uid="{9BEB79AC-DEB1-4C15-82FC-81DCBF1EBD87}"/>
    <cellStyle name="Comma [0] 4" xfId="65" xr:uid="{472CD43C-BE95-4C76-8397-374DB0BFDB1A}"/>
    <cellStyle name="Comma [0] 4 2" xfId="66" xr:uid="{399078AA-7489-4E45-A803-2E3CFBD2E587}"/>
    <cellStyle name="Comma [0] 4 2 2" xfId="67" xr:uid="{266628A4-278A-40A1-843D-BE4034B6663D}"/>
    <cellStyle name="Comma [0] 4 2 2 2" xfId="68" xr:uid="{0C85DCAA-8114-43C1-BFC2-B926081C33AB}"/>
    <cellStyle name="Comma [0] 4 2 2 2 2" xfId="69" xr:uid="{92541494-4D1B-46E0-844D-87234A428CCA}"/>
    <cellStyle name="Comma [0] 4 2 2 3" xfId="70" xr:uid="{900A8C52-6AA2-45B3-A457-5DCEEFD983ED}"/>
    <cellStyle name="Comma [0] 4 2 2 4" xfId="71" xr:uid="{6C7FEE6F-5BA3-42DE-B226-BD3CCDD52452}"/>
    <cellStyle name="Comma [0] 4 2 2 5" xfId="72" xr:uid="{04F4C1C5-F743-4183-BF24-6C7F7C1F0E9E}"/>
    <cellStyle name="Comma [0] 4 2 3" xfId="73" xr:uid="{6E681602-AE99-43F3-AD71-036DB145C4BA}"/>
    <cellStyle name="Comma [0] 4 2 3 2" xfId="74" xr:uid="{38EACF5A-5921-4379-B390-C811C2E77026}"/>
    <cellStyle name="Comma [0] 4 2 3 3" xfId="75" xr:uid="{FCB5DC99-C0EC-4E91-A89A-5452C1A70C24}"/>
    <cellStyle name="Comma [0] 4 2 4" xfId="76" xr:uid="{519980A6-0099-4D68-B3E9-B62096BA3500}"/>
    <cellStyle name="Comma [0] 4 2 5" xfId="77" xr:uid="{6B0A542F-FD60-4967-9D76-6DBC247B44F0}"/>
    <cellStyle name="Comma [0] 4 2 6" xfId="78" xr:uid="{C5B3DC68-2601-473E-B17D-145E79E046A6}"/>
    <cellStyle name="Comma [0] 4 2 7" xfId="79" xr:uid="{8A9C8BEF-B872-451E-B3AB-6270271E1D71}"/>
    <cellStyle name="Comma [0] 4 3" xfId="80" xr:uid="{FCF25CC9-8C49-414C-B662-E405BCBA0B42}"/>
    <cellStyle name="Comma [0] 4 3 2" xfId="81" xr:uid="{2B6E444C-31D2-441E-AE87-AD6785A1095F}"/>
    <cellStyle name="Comma [0] 4 3 2 2" xfId="82" xr:uid="{639D9DEC-ED8E-491A-9BAA-74AF82EC5F01}"/>
    <cellStyle name="Comma [0] 4 3 2 3" xfId="83" xr:uid="{5563819E-FA78-49CB-8AE1-AE6BBA6B4BAE}"/>
    <cellStyle name="Comma [0] 4 3 3" xfId="84" xr:uid="{A48FEFF4-48A2-4525-9CC4-4AD9739390A0}"/>
    <cellStyle name="Comma [0] 4 3 4" xfId="85" xr:uid="{EA0E8FDE-0FFD-492B-8382-4465EA438716}"/>
    <cellStyle name="Comma [0] 4 3 5" xfId="86" xr:uid="{733F496B-31EA-4ECA-89B6-AF8646059C72}"/>
    <cellStyle name="Comma [0] 4 4" xfId="87" xr:uid="{AF816D90-EB6D-4F62-836A-55C4C9EBCAE9}"/>
    <cellStyle name="Comma [0] 4 4 2" xfId="88" xr:uid="{793D5A9B-E67B-413C-8466-1D61D39A00CF}"/>
    <cellStyle name="Comma [0] 4 4 2 2" xfId="89" xr:uid="{0BE6E368-C521-4348-B1BF-539C2ACAF45C}"/>
    <cellStyle name="Comma [0] 4 4 3" xfId="90" xr:uid="{49E324CB-F40F-4F4B-8897-F6C1C328679B}"/>
    <cellStyle name="Comma [0] 4 4 4" xfId="91" xr:uid="{A0918776-5E84-4EC4-AEE7-96C10DF9D7FA}"/>
    <cellStyle name="Comma [0] 4 5" xfId="92" xr:uid="{4FF1721B-54D4-4566-A018-60723588FD9D}"/>
    <cellStyle name="Comma [0] 4 5 2" xfId="93" xr:uid="{B6782202-A7AE-4B7B-949D-78A066D42C14}"/>
    <cellStyle name="Comma [0] 4 6" xfId="94" xr:uid="{86C48F83-3ED5-4B28-8702-39B1538FC615}"/>
    <cellStyle name="Comma [0] 4 7" xfId="95" xr:uid="{4EC68CB9-F462-4BBE-912D-2B63E72A68B8}"/>
    <cellStyle name="Comma [0] 4 8" xfId="96" xr:uid="{A154A47A-6B0B-42F5-8D97-EE754C15E46F}"/>
    <cellStyle name="Comma [0] 4 9" xfId="97" xr:uid="{19EFA10F-4074-4D55-89D0-AA48CF74BE37}"/>
    <cellStyle name="Comma [0] 5" xfId="98" xr:uid="{9D7A38FB-3278-41B2-838C-97ED69FD7720}"/>
    <cellStyle name="Comma [0] 5 2" xfId="99" xr:uid="{1E13D31F-89B2-4767-88AB-F9E097EEAC07}"/>
    <cellStyle name="Comma [0] 5 2 2" xfId="100" xr:uid="{D3471614-3405-4B5F-A581-2D5509654ECB}"/>
    <cellStyle name="Comma [0] 5 3" xfId="101" xr:uid="{962B29B5-3CA8-408C-9E0B-4DC34D958103}"/>
    <cellStyle name="Comma [0] 5 3 2" xfId="102" xr:uid="{3695070E-0C92-4C08-A40C-BCE5E4628D39}"/>
    <cellStyle name="Comma [0] 5 4" xfId="103" xr:uid="{C03D0703-26CB-4B9D-850E-1C060503BE32}"/>
    <cellStyle name="Comma [0] 6" xfId="104" xr:uid="{F7E2FF52-945E-48D8-9F43-35775370CC2B}"/>
    <cellStyle name="Comma [0] 6 2" xfId="105" xr:uid="{53E51910-B7D9-4130-AF79-965A40D74953}"/>
    <cellStyle name="Comma [0] 6 3" xfId="106" xr:uid="{B439CA86-87DD-4E2D-8F4A-102FFB8E559D}"/>
    <cellStyle name="Comma [0] 7" xfId="107" xr:uid="{6FDE8B20-1187-40E6-8FCE-B291A3BF036D}"/>
    <cellStyle name="Comma [0] 7 2" xfId="108" xr:uid="{335AD00A-785C-44AD-A0B3-786ED12E44AD}"/>
    <cellStyle name="Comma [0] 8" xfId="4" xr:uid="{ACC1064C-820E-4CB8-9C6C-B9CC3D8C842C}"/>
    <cellStyle name="Comma 10" xfId="109" xr:uid="{791C2B43-7182-4137-AF04-496FA084A02D}"/>
    <cellStyle name="Comma 10 2" xfId="110" xr:uid="{E7AB85DB-FDFC-421E-8E47-EE52A77B9A1B}"/>
    <cellStyle name="Comma 10 2 2" xfId="111" xr:uid="{6187E196-02FF-4978-8CAA-1A1AC13C6F24}"/>
    <cellStyle name="Comma 10 2 2 2" xfId="112" xr:uid="{961CC794-043F-4292-B332-F27A1F7ABA7A}"/>
    <cellStyle name="Comma 10 2 3" xfId="113" xr:uid="{83F3C85A-66EC-4E70-A48F-1B9AEC8248C6}"/>
    <cellStyle name="Comma 10 2 4" xfId="114" xr:uid="{06DF4623-839A-4B47-AEAA-4F9A826098BD}"/>
    <cellStyle name="Comma 10 2 5" xfId="115" xr:uid="{9E5A969E-725D-4D22-94F2-96C424BED10E}"/>
    <cellStyle name="Comma 10 3" xfId="116" xr:uid="{98F6017D-FD68-4011-BB4E-FDB520744872}"/>
    <cellStyle name="Comma 10 4" xfId="117" xr:uid="{D1B8715E-F7B6-4C0E-8B83-B29D609FAC71}"/>
    <cellStyle name="Comma 10 5" xfId="118" xr:uid="{86EF5B00-9189-4BFF-B6B1-EBAC82A29310}"/>
    <cellStyle name="Comma 10 6" xfId="119" xr:uid="{2B3C9D41-2EFE-4E2F-B578-A84F02508E9D}"/>
    <cellStyle name="Comma 100" xfId="120" xr:uid="{91E2071E-DE69-45AC-9EF4-817EC1BC4FE0}"/>
    <cellStyle name="Comma 100 2" xfId="121" xr:uid="{B94C1888-A1E2-4EE2-BDF7-9AECFCA8D052}"/>
    <cellStyle name="Comma 100 2 2" xfId="122" xr:uid="{F22C61BB-39D7-4352-A8FF-E43369456E64}"/>
    <cellStyle name="Comma 100 2 2 2" xfId="123" xr:uid="{81BBE932-17FA-42B6-9891-B6AF61BBF184}"/>
    <cellStyle name="Comma 100 2 3" xfId="124" xr:uid="{327DA3CE-86ED-45F3-94E1-D08BDA500123}"/>
    <cellStyle name="Comma 100 2 4" xfId="125" xr:uid="{6049A0C7-77C0-4D38-8156-9CFFB3CF391B}"/>
    <cellStyle name="Comma 100 2 5" xfId="126" xr:uid="{E2E04519-CEDD-426E-86F7-DEF2519678CE}"/>
    <cellStyle name="Comma 100 3" xfId="127" xr:uid="{3344FA52-F3D9-4160-A61B-C90A02CF205E}"/>
    <cellStyle name="Comma 100 4" xfId="128" xr:uid="{93287B77-0AFF-458E-95E7-AE15333979C0}"/>
    <cellStyle name="Comma 100 5" xfId="129" xr:uid="{910A865B-77B3-4A18-BD0B-185072086DCE}"/>
    <cellStyle name="Comma 100 6" xfId="130" xr:uid="{54F252A9-FEE7-4FF7-82CC-A00627D7D6E9}"/>
    <cellStyle name="Comma 101" xfId="131" xr:uid="{6E5B38F8-1BCE-4E72-9C8F-EB950C5C9EF6}"/>
    <cellStyle name="Comma 101 2" xfId="132" xr:uid="{DAA70AB3-B73A-404F-A017-CE4D51DA0ECD}"/>
    <cellStyle name="Comma 101 2 2" xfId="133" xr:uid="{F9ABDE9B-8D7D-42A8-A82A-0D23DE997AD9}"/>
    <cellStyle name="Comma 101 2 2 2" xfId="134" xr:uid="{43A47145-7EBB-4C81-91D4-B0FFF8EDDB86}"/>
    <cellStyle name="Comma 101 2 3" xfId="135" xr:uid="{A438F1EA-88FF-41C6-96E8-98060E4F607B}"/>
    <cellStyle name="Comma 101 2 4" xfId="136" xr:uid="{9AA22E87-6B68-4692-B995-377BD37589C2}"/>
    <cellStyle name="Comma 101 2 5" xfId="137" xr:uid="{E15F31D9-DB8C-4F4F-B7B4-8B219E796ACF}"/>
    <cellStyle name="Comma 101 3" xfId="138" xr:uid="{F53DE30F-7A30-481D-9B0D-0E6CF20449A8}"/>
    <cellStyle name="Comma 101 4" xfId="139" xr:uid="{C1DE3F4E-2F33-464C-B54B-D2C19168031E}"/>
    <cellStyle name="Comma 101 5" xfId="140" xr:uid="{1B0CC44A-40BE-4E9F-B40C-BCA000CFD0C6}"/>
    <cellStyle name="Comma 101 6" xfId="141" xr:uid="{A63053C4-2C33-4E74-923F-320163835027}"/>
    <cellStyle name="Comma 102" xfId="142" xr:uid="{1531B4EC-7A24-440D-A442-91CF8D4F6D0D}"/>
    <cellStyle name="Comma 102 2" xfId="143" xr:uid="{87A046EC-D14F-4DD2-89C0-6E25DEEA183E}"/>
    <cellStyle name="Comma 102 2 2" xfId="144" xr:uid="{D75043CD-B597-4E6C-8EC3-15D4C4C554D2}"/>
    <cellStyle name="Comma 102 2 3" xfId="145" xr:uid="{70A39BE6-D1BC-4A26-8B01-B4B3B0E2A9D5}"/>
    <cellStyle name="Comma 102 2 4" xfId="146" xr:uid="{FD44EF69-939B-4706-88B0-4AB525A79F7E}"/>
    <cellStyle name="Comma 102 3" xfId="147" xr:uid="{337E869F-765C-468C-8DC8-2C14EF69D8AD}"/>
    <cellStyle name="Comma 102 3 2" xfId="148" xr:uid="{E5567E5D-B0EE-4AAB-98C2-3C6E1B63A08D}"/>
    <cellStyle name="Comma 102 4" xfId="149" xr:uid="{BB693EDF-FC2D-4DB0-99C0-687243D97194}"/>
    <cellStyle name="Comma 102 5" xfId="150" xr:uid="{CA322C5A-25E8-4F00-806C-5E3B0CD76B64}"/>
    <cellStyle name="Comma 102 6" xfId="151" xr:uid="{D07FAB9B-5275-411C-8026-8E8DF511A8F6}"/>
    <cellStyle name="Comma 103" xfId="152" xr:uid="{A5A013EF-1D5B-46AC-8427-63C91C84DAB4}"/>
    <cellStyle name="Comma 103 2" xfId="153" xr:uid="{1D70BC1C-90D4-4D90-88F0-865C32A2D8E3}"/>
    <cellStyle name="Comma 103 2 2" xfId="154" xr:uid="{8CE2C54B-00D7-48CF-AABC-28B473FAEED1}"/>
    <cellStyle name="Comma 103 2 3" xfId="155" xr:uid="{84AA4267-EED5-4645-86BC-9D046C46BF2D}"/>
    <cellStyle name="Comma 103 2 4" xfId="156" xr:uid="{7BFF9EF1-562E-4054-947E-F913BDED806F}"/>
    <cellStyle name="Comma 103 3" xfId="157" xr:uid="{ADE57408-038C-4058-9429-1AB683C72691}"/>
    <cellStyle name="Comma 103 4" xfId="158" xr:uid="{F86ABA7E-1FBA-4EA7-83A6-FEE428FE0D96}"/>
    <cellStyle name="Comma 103 5" xfId="159" xr:uid="{B33AEA43-7371-4872-BEE7-2F2B622AC7DA}"/>
    <cellStyle name="Comma 103 6" xfId="160" xr:uid="{5F043F25-AC1B-46DA-A5BD-262358E187F6}"/>
    <cellStyle name="Comma 104" xfId="161" xr:uid="{66371E98-414D-4D0B-8D04-16850B33C97D}"/>
    <cellStyle name="Comma 104 2" xfId="162" xr:uid="{7816F1CE-85E2-442A-9932-4A023FF4D824}"/>
    <cellStyle name="Comma 104 2 2" xfId="163" xr:uid="{12E21845-9C71-4A58-9E49-894375DA49D0}"/>
    <cellStyle name="Comma 104 2 3" xfId="164" xr:uid="{E88421F6-0FDA-426F-8E14-D2C9F6860082}"/>
    <cellStyle name="Comma 104 3" xfId="165" xr:uid="{6673159E-1D38-4F97-A144-18D5EDAB6F69}"/>
    <cellStyle name="Comma 104 4" xfId="166" xr:uid="{B309FC77-CB29-4D97-ABDA-BBA09DF61B16}"/>
    <cellStyle name="Comma 104 5" xfId="167" xr:uid="{73FD6E8F-2620-4164-B9BB-054135CEE0B9}"/>
    <cellStyle name="Comma 104 6" xfId="168" xr:uid="{DACA64C0-825F-4DF4-A322-FDEC2F2ED856}"/>
    <cellStyle name="Comma 105" xfId="169" xr:uid="{B264B1E2-99E1-4AB8-8F41-574F26EFE89B}"/>
    <cellStyle name="Comma 105 2" xfId="170" xr:uid="{DD55FDED-A12F-4836-B1EF-5F4637BA5969}"/>
    <cellStyle name="Comma 105 2 2" xfId="171" xr:uid="{2D9B9571-411A-45ED-B6F5-8E0B219B89D8}"/>
    <cellStyle name="Comma 105 2 3" xfId="172" xr:uid="{70327D5F-4A9C-4673-B5D4-AF6E474B3FC2}"/>
    <cellStyle name="Comma 105 3" xfId="173" xr:uid="{F077D409-63CE-4B85-A2D3-030F4D1624C9}"/>
    <cellStyle name="Comma 105 4" xfId="174" xr:uid="{1EF48433-E9E8-48F9-8DDB-6EF29921248F}"/>
    <cellStyle name="Comma 105 5" xfId="175" xr:uid="{41BA35DC-CC0D-45AD-BA52-D06EC6D41940}"/>
    <cellStyle name="Comma 105 6" xfId="176" xr:uid="{E0B8195B-85D4-4B55-B7D2-7CC83B29EAA4}"/>
    <cellStyle name="Comma 106" xfId="177" xr:uid="{33810796-004C-4042-AE84-D9CDD126E249}"/>
    <cellStyle name="Comma 106 2" xfId="178" xr:uid="{A2BC8CAB-5AA6-4FF8-9848-DC50902483CF}"/>
    <cellStyle name="Comma 106 2 2" xfId="179" xr:uid="{3A2ADC59-CE8E-4240-9E12-82D4B785A16B}"/>
    <cellStyle name="Comma 106 2 2 2" xfId="180" xr:uid="{D79240AD-399E-4ABB-AFB7-27A2CFDFBD39}"/>
    <cellStyle name="Comma 106 2 2 3" xfId="181" xr:uid="{645D4B8C-579D-47F3-BF97-3CD55535991E}"/>
    <cellStyle name="Comma 106 2 3" xfId="182" xr:uid="{14CCD4CC-D105-4C84-B25C-42DACDA298A0}"/>
    <cellStyle name="Comma 106 2 4" xfId="183" xr:uid="{B2D90107-8398-46FD-94C1-5E6D98A611AF}"/>
    <cellStyle name="Comma 106 3" xfId="184" xr:uid="{AB943F01-EC5B-4336-AD70-45660CCFB416}"/>
    <cellStyle name="Comma 106 3 2" xfId="185" xr:uid="{A06437D9-7D55-4042-8D67-A28D80F37DA9}"/>
    <cellStyle name="Comma 106 3 3" xfId="186" xr:uid="{C1B763FE-5551-449E-AF43-FC72EC17DBA9}"/>
    <cellStyle name="Comma 106 4" xfId="187" xr:uid="{E3803DE9-37F3-4CA0-9F9A-CAF5152B769B}"/>
    <cellStyle name="Comma 106 5" xfId="188" xr:uid="{8AADD54E-09CB-4A8E-9AAD-FC1ECDD6A4DC}"/>
    <cellStyle name="Comma 106 6" xfId="189" xr:uid="{E7E07279-81DA-44D3-BB99-FBBAC2CB10DD}"/>
    <cellStyle name="Comma 107" xfId="190" xr:uid="{B399354B-6E9C-4946-B5AF-E972A508153B}"/>
    <cellStyle name="Comma 107 2" xfId="191" xr:uid="{0A484587-11DC-4D64-82DF-8EBD87E92711}"/>
    <cellStyle name="Comma 107 2 2" xfId="192" xr:uid="{0291810B-58C3-4CD1-88EC-A574EEF52FE7}"/>
    <cellStyle name="Comma 107 2 3" xfId="193" xr:uid="{EFD12557-B968-4B99-A41F-E1AD901CD206}"/>
    <cellStyle name="Comma 107 3" xfId="194" xr:uid="{172EE093-9010-426B-A3BF-EDA1AAC37D27}"/>
    <cellStyle name="Comma 107 4" xfId="195" xr:uid="{96203CCC-6C76-49C8-9FFA-DAEAC2EF1456}"/>
    <cellStyle name="Comma 107 5" xfId="196" xr:uid="{3AEC41AB-2E74-4C9B-A3D2-A2A540E74E45}"/>
    <cellStyle name="Comma 108" xfId="197" xr:uid="{DCE5506C-1D07-42EE-99E8-6A139A4521C8}"/>
    <cellStyle name="Comma 108 2" xfId="198" xr:uid="{B4C9CA80-BE1E-4B3A-AEE3-70FEB20F5088}"/>
    <cellStyle name="Comma 108 2 2" xfId="199" xr:uid="{C4B18C87-B1FF-41A7-A0C0-F88992755A5D}"/>
    <cellStyle name="Comma 108 2 3" xfId="200" xr:uid="{F9E1B601-42E5-48D5-9078-5402F9ACDDAC}"/>
    <cellStyle name="Comma 108 3" xfId="201" xr:uid="{49A689B2-A03F-43A0-A087-2AA162D98D56}"/>
    <cellStyle name="Comma 108 4" xfId="202" xr:uid="{8DB8ABCB-53E9-4E0B-AE0F-4463C70BA3B5}"/>
    <cellStyle name="Comma 108 5" xfId="203" xr:uid="{604413B7-D6C3-486E-BB78-ED8646259261}"/>
    <cellStyle name="Comma 109" xfId="204" xr:uid="{78A5AEA3-D2C4-4103-AE7D-68784EEDF47A}"/>
    <cellStyle name="Comma 109 2" xfId="205" xr:uid="{3B50DF7A-5535-4750-ACB7-72482AFB86EA}"/>
    <cellStyle name="Comma 109 2 2" xfId="206" xr:uid="{AAAD1A8E-F658-4D89-975E-EA268620F6FB}"/>
    <cellStyle name="Comma 109 2 3" xfId="207" xr:uid="{EE557711-1318-4B3C-B55A-356B633718D3}"/>
    <cellStyle name="Comma 109 3" xfId="208" xr:uid="{78065266-893B-42E8-907E-E7137F6D386A}"/>
    <cellStyle name="Comma 109 4" xfId="209" xr:uid="{D0C67C10-F595-4044-8850-A035F8559342}"/>
    <cellStyle name="Comma 109 5" xfId="210" xr:uid="{0593253C-ED9B-4B8E-9C15-4539CEEA4DDA}"/>
    <cellStyle name="Comma 11" xfId="211" xr:uid="{73F3FE13-3322-49C8-ABB8-0F20F9CBF03F}"/>
    <cellStyle name="Comma 11 2" xfId="212" xr:uid="{84A1BA37-24AF-4111-800C-9516ADE72FBD}"/>
    <cellStyle name="Comma 11 2 2" xfId="213" xr:uid="{B0C3F9D7-0009-4C77-B331-814D01A6C072}"/>
    <cellStyle name="Comma 11 2 2 2" xfId="214" xr:uid="{77A9C284-ECBD-4DF8-8BB0-E6D40B9C8BB4}"/>
    <cellStyle name="Comma 11 2 3" xfId="215" xr:uid="{0CF30890-E2D5-449E-ADDA-313DDD51EA1C}"/>
    <cellStyle name="Comma 11 2 4" xfId="216" xr:uid="{06B70D0F-38E2-48AB-95CC-E10A25FDA4C9}"/>
    <cellStyle name="Comma 11 2 5" xfId="217" xr:uid="{CA95F847-8EAC-4A39-9F84-331651F5A954}"/>
    <cellStyle name="Comma 11 3" xfId="218" xr:uid="{14B56FD1-57BE-4C6A-B251-9B4925645B08}"/>
    <cellStyle name="Comma 11 4" xfId="219" xr:uid="{C9BEF2C6-25AF-4F5F-B081-A0FE419FD78D}"/>
    <cellStyle name="Comma 11 5" xfId="220" xr:uid="{3939AF70-F20F-47A0-B53F-16EFBB3E6FC9}"/>
    <cellStyle name="Comma 11 6" xfId="221" xr:uid="{94508D82-89CD-4260-8C3E-290E56EB09D0}"/>
    <cellStyle name="Comma 110" xfId="222" xr:uid="{283093AB-8A01-452A-A05A-A69969C4C09F}"/>
    <cellStyle name="Comma 110 2" xfId="223" xr:uid="{A2949D4E-B2D3-4D81-9C42-85FED1B229A7}"/>
    <cellStyle name="Comma 110 3" xfId="224" xr:uid="{7FF92A4B-43E9-4B52-B83B-5B5FE84421DE}"/>
    <cellStyle name="Comma 110 4" xfId="225" xr:uid="{9509A5C8-77FF-44DF-BCE6-6AA5FCB25C36}"/>
    <cellStyle name="Comma 111" xfId="226" xr:uid="{FE002CE5-D063-43A8-BF40-9ACB2BA79857}"/>
    <cellStyle name="Comma 111 2" xfId="227" xr:uid="{1805C9B1-1A74-461E-B06B-FC1CDC214649}"/>
    <cellStyle name="Comma 111 3" xfId="228" xr:uid="{D0356DC8-B5FF-4361-AC22-9141EF39C42B}"/>
    <cellStyle name="Comma 112" xfId="229" xr:uid="{56AAD682-70C0-4B3B-A79B-5C4FF00A9ABA}"/>
    <cellStyle name="Comma 113" xfId="230" xr:uid="{AE89E616-6B96-4469-8C15-3D37924EA4D6}"/>
    <cellStyle name="Comma 114" xfId="231" xr:uid="{1FA2B4A2-CB85-49ED-B0F0-67120E7FCA2A}"/>
    <cellStyle name="Comma 115" xfId="232" xr:uid="{54337E90-1A7F-442B-AA4D-BD036995127B}"/>
    <cellStyle name="Comma 116" xfId="233" xr:uid="{BA91A5CF-07A6-4F33-B53F-B7FF6B62E048}"/>
    <cellStyle name="Comma 117" xfId="234" xr:uid="{DB661F8B-F744-43A7-988C-D958F5964388}"/>
    <cellStyle name="Comma 118" xfId="235" xr:uid="{8B73D0E3-1536-40D5-8C1D-B00368568B9F}"/>
    <cellStyle name="Comma 119" xfId="236" xr:uid="{99A0856A-4A3D-4991-9C5B-A87E757A6A04}"/>
    <cellStyle name="Comma 12" xfId="237" xr:uid="{AA6E8024-6565-4717-8569-1005FABB47FD}"/>
    <cellStyle name="Comma 12 2" xfId="238" xr:uid="{371C9C9D-EE3C-4C36-85D0-D1B93EF9F6A6}"/>
    <cellStyle name="Comma 12 2 2" xfId="239" xr:uid="{FC37A036-D89B-4DF9-847E-9CF3FB5A4D87}"/>
    <cellStyle name="Comma 12 2 2 2" xfId="240" xr:uid="{F99CBBE4-B868-4370-B315-38E5638B732F}"/>
    <cellStyle name="Comma 12 2 3" xfId="241" xr:uid="{F8015B2D-5A01-49F6-A3F0-7762D3D9DE74}"/>
    <cellStyle name="Comma 12 2 4" xfId="242" xr:uid="{CDCD9E55-9148-4E1B-A8B7-C0AA063107BD}"/>
    <cellStyle name="Comma 12 2 5" xfId="243" xr:uid="{338319B0-F609-4EE8-A078-7ACC2B98021B}"/>
    <cellStyle name="Comma 12 3" xfId="244" xr:uid="{E4A2813F-C6EA-4044-AC10-3C059067147F}"/>
    <cellStyle name="Comma 12 4" xfId="245" xr:uid="{879841AC-0F91-4BC2-A685-F399381D740F}"/>
    <cellStyle name="Comma 12 5" xfId="246" xr:uid="{34AE02EA-79D5-426E-8283-BD9B0B4FA318}"/>
    <cellStyle name="Comma 12 6" xfId="247" xr:uid="{2FB6176F-C8DC-4947-B616-675A7FBF6D62}"/>
    <cellStyle name="Comma 120" xfId="248" xr:uid="{3313F52A-C0B5-4EF7-BC96-39E1870A9D8E}"/>
    <cellStyle name="Comma 121" xfId="249" xr:uid="{85292593-897E-491D-8A89-BAF79915C029}"/>
    <cellStyle name="Comma 122" xfId="250" xr:uid="{34E110FC-47C9-481F-B9DC-C04F352ACEB2}"/>
    <cellStyle name="Comma 123" xfId="251" xr:uid="{9C9670C1-21D0-415E-B61E-BF97E5697DA8}"/>
    <cellStyle name="Comma 124" xfId="252" xr:uid="{8F473DF2-E15E-4A41-B679-8677AD8DF79E}"/>
    <cellStyle name="Comma 125" xfId="253" xr:uid="{10C82259-C2A6-44C1-8D26-EE1033D493B1}"/>
    <cellStyle name="Comma 126" xfId="254" xr:uid="{6AEC09E1-1E4F-4AE0-8399-C812F0325E2F}"/>
    <cellStyle name="Comma 127" xfId="255" xr:uid="{9627F27E-E088-4326-8DDD-14754445FC7C}"/>
    <cellStyle name="Comma 128" xfId="256" xr:uid="{3E611F4E-3193-4D53-8DE3-372D780962C1}"/>
    <cellStyle name="Comma 129" xfId="257" xr:uid="{3921DEEF-074E-452C-96C3-CE4B3A83D14E}"/>
    <cellStyle name="Comma 13" xfId="258" xr:uid="{DEFDE122-B489-4F43-B26A-252F2848F6CA}"/>
    <cellStyle name="Comma 13 2" xfId="259" xr:uid="{452DEFBF-7016-4FEB-B89D-138E182879A0}"/>
    <cellStyle name="Comma 13 2 2" xfId="260" xr:uid="{8FCBBA28-BD68-447E-BCA0-97B37A56D9AA}"/>
    <cellStyle name="Comma 13 2 2 2" xfId="261" xr:uid="{0FCBF7C8-ACF9-4F41-B43F-BF8EFC2CFAD9}"/>
    <cellStyle name="Comma 13 2 3" xfId="262" xr:uid="{F814A37C-0C33-4C2B-8414-5E80F67F2DB2}"/>
    <cellStyle name="Comma 13 2 4" xfId="263" xr:uid="{AA3FD78B-7A09-4208-913D-671F02B49259}"/>
    <cellStyle name="Comma 13 2 5" xfId="264" xr:uid="{18212607-98F1-4F01-8B7E-81F4ECA9661F}"/>
    <cellStyle name="Comma 13 3" xfId="265" xr:uid="{B11CF2AD-5727-4EED-89F3-D2CEE3701FFF}"/>
    <cellStyle name="Comma 13 4" xfId="266" xr:uid="{8593E1D9-A679-45BC-8134-76EA87C392E8}"/>
    <cellStyle name="Comma 13 5" xfId="267" xr:uid="{A3EA7E2B-FF84-478A-B81F-E7DA0A7647A2}"/>
    <cellStyle name="Comma 13 6" xfId="268" xr:uid="{F842B129-9A84-4522-A628-D13EE01AA9F0}"/>
    <cellStyle name="Comma 130" xfId="269" xr:uid="{6BFA1AEA-A0E4-44F5-A2C6-9015384677F1}"/>
    <cellStyle name="Comma 131" xfId="270" xr:uid="{F821EF7E-A655-4266-A35F-73AADCB18752}"/>
    <cellStyle name="Comma 132" xfId="3" xr:uid="{2EB8DE42-43D8-45FD-8A57-9613AD34B54A}"/>
    <cellStyle name="Comma 14" xfId="271" xr:uid="{DABC671D-A187-4E25-9E5D-B2BB3E14A31C}"/>
    <cellStyle name="Comma 14 2" xfId="272" xr:uid="{A65D7D7D-214C-48C8-A12F-683B4D3F4F21}"/>
    <cellStyle name="Comma 14 2 2" xfId="273" xr:uid="{6D30D1C5-835E-4CD0-8FEE-EFDB5A05F370}"/>
    <cellStyle name="Comma 14 2 2 2" xfId="274" xr:uid="{8B01E4C0-BF15-4F78-A651-4C5F3E0E3F99}"/>
    <cellStyle name="Comma 14 2 3" xfId="275" xr:uid="{A6ED210F-CBE7-4CF8-9B7C-8F79C8CEA395}"/>
    <cellStyle name="Comma 14 2 4" xfId="276" xr:uid="{A4D06F68-E817-44F1-8A5A-C09953F932BE}"/>
    <cellStyle name="Comma 14 2 5" xfId="277" xr:uid="{98B0F171-C781-45A5-BB99-30671D30D2AB}"/>
    <cellStyle name="Comma 14 3" xfId="278" xr:uid="{A2CE6793-F9A1-4EE6-85E9-A077166F16ED}"/>
    <cellStyle name="Comma 14 4" xfId="279" xr:uid="{E35C2AE1-D65F-4C0A-9C3C-1CB4970C9228}"/>
    <cellStyle name="Comma 14 5" xfId="280" xr:uid="{32559823-E07D-43C4-9613-AFFE29E48DB3}"/>
    <cellStyle name="Comma 14 6" xfId="281" xr:uid="{4CE61E47-5D46-4278-92A0-EBD8634F5E0D}"/>
    <cellStyle name="Comma 15" xfId="282" xr:uid="{B64B9E65-502A-46D8-B474-34DFDCAC16C9}"/>
    <cellStyle name="Comma 15 2" xfId="283" xr:uid="{A31FA639-B3EF-4CC7-89EA-9415F6F19266}"/>
    <cellStyle name="Comma 15 2 2" xfId="284" xr:uid="{3E4D428C-7271-497A-9026-FFDEB831CF07}"/>
    <cellStyle name="Comma 15 2 2 2" xfId="285" xr:uid="{477238F2-E9DA-4B37-87F4-B535F45D8071}"/>
    <cellStyle name="Comma 15 2 3" xfId="286" xr:uid="{5F801AC8-784F-48C3-B451-0D23170B1ED0}"/>
    <cellStyle name="Comma 15 2 4" xfId="287" xr:uid="{38243684-A45D-4976-9CD1-30703F5763BC}"/>
    <cellStyle name="Comma 15 2 5" xfId="288" xr:uid="{14805A71-7F2F-4EED-B420-686C97AC6332}"/>
    <cellStyle name="Comma 15 3" xfId="289" xr:uid="{6EE499AE-1C74-454C-8B6F-75F204338884}"/>
    <cellStyle name="Comma 15 4" xfId="290" xr:uid="{15E91780-199D-4EAB-92B2-9E5EE33FB040}"/>
    <cellStyle name="Comma 15 5" xfId="291" xr:uid="{F1718A4E-D577-43A5-9125-AAAAF00FB9F6}"/>
    <cellStyle name="Comma 15 6" xfId="292" xr:uid="{8ADE8FCE-20B4-4DAB-9445-54F24F9328B4}"/>
    <cellStyle name="Comma 16" xfId="293" xr:uid="{30059320-5B0A-46F6-8A6A-60C9A26D3C71}"/>
    <cellStyle name="Comma 16 2" xfId="294" xr:uid="{B215846B-866A-4C4B-A69D-BDB0C8327625}"/>
    <cellStyle name="Comma 16 2 2" xfId="295" xr:uid="{86D81592-01D0-40A0-B95B-07E22C11C75D}"/>
    <cellStyle name="Comma 16 2 2 2" xfId="296" xr:uid="{16D35786-71BE-4CE1-97F8-B4C70948EDBD}"/>
    <cellStyle name="Comma 16 2 3" xfId="297" xr:uid="{C66D267D-3423-4EA9-9CCC-4C6603C01C7E}"/>
    <cellStyle name="Comma 16 2 4" xfId="298" xr:uid="{8B9CFCA6-DD30-41CC-B552-58291A426111}"/>
    <cellStyle name="Comma 16 2 5" xfId="299" xr:uid="{E6CFF8D9-8176-4C30-BB89-84490587540B}"/>
    <cellStyle name="Comma 16 3" xfId="300" xr:uid="{69F3EF8E-1881-4611-9F92-C4A94D4E7E9A}"/>
    <cellStyle name="Comma 16 4" xfId="301" xr:uid="{145A87FF-B55D-4557-B8A0-EDDCC62B654D}"/>
    <cellStyle name="Comma 16 5" xfId="302" xr:uid="{49E5DC50-58B3-41AD-B807-0D25E2FA7CF2}"/>
    <cellStyle name="Comma 16 6" xfId="303" xr:uid="{57DCB2F6-946D-4EB6-94CE-5AE2D0981EB6}"/>
    <cellStyle name="Comma 17" xfId="304" xr:uid="{823088BD-8030-4043-A138-0D571E34665D}"/>
    <cellStyle name="Comma 17 2" xfId="305" xr:uid="{B003E1BC-8833-4719-A5A1-3355995471D7}"/>
    <cellStyle name="Comma 17 2 2" xfId="306" xr:uid="{6C68E343-A5CE-4C68-966C-ED12A27982D8}"/>
    <cellStyle name="Comma 17 2 2 2" xfId="307" xr:uid="{C661AC20-69DC-49BA-9590-531BF87778D5}"/>
    <cellStyle name="Comma 17 2 3" xfId="308" xr:uid="{87D36D4F-5D72-4B3A-BF98-A2B0D01D7C65}"/>
    <cellStyle name="Comma 17 2 4" xfId="309" xr:uid="{C1F5FAB5-C823-4D81-9240-7E7BB250E191}"/>
    <cellStyle name="Comma 17 2 5" xfId="310" xr:uid="{5B287938-36F4-4C7D-978B-87DEB31E1E65}"/>
    <cellStyle name="Comma 17 3" xfId="311" xr:uid="{50205A43-182F-46AC-A859-B214EE66214B}"/>
    <cellStyle name="Comma 17 4" xfId="312" xr:uid="{E2F09BF1-BFCC-489F-9D86-F2283F40BD35}"/>
    <cellStyle name="Comma 17 5" xfId="313" xr:uid="{101F38C0-63C7-4B95-A87B-A568088FCB6B}"/>
    <cellStyle name="Comma 17 6" xfId="314" xr:uid="{B2B1DF26-63A2-42D0-A925-C7AD8024D62C}"/>
    <cellStyle name="Comma 18" xfId="315" xr:uid="{B27B3E62-CC70-4CDF-B7D4-B1AE573481E3}"/>
    <cellStyle name="Comma 18 2" xfId="316" xr:uid="{A35718D9-6C98-4313-9F81-8BCBA16B1F4E}"/>
    <cellStyle name="Comma 18 2 2" xfId="317" xr:uid="{401FA7E0-40E7-4860-8C8C-DFF20F65FF05}"/>
    <cellStyle name="Comma 18 2 2 2" xfId="318" xr:uid="{DED582E1-7500-4C34-B14A-A94764591959}"/>
    <cellStyle name="Comma 18 2 3" xfId="319" xr:uid="{FBF1349E-B9BE-40B5-9AB1-7445347107BB}"/>
    <cellStyle name="Comma 18 2 4" xfId="320" xr:uid="{EDBC9C2A-EB35-4807-BAB8-DDF39719AA07}"/>
    <cellStyle name="Comma 18 2 5" xfId="321" xr:uid="{70602712-15B0-4AE6-BFC8-D6ABF9A5EE8D}"/>
    <cellStyle name="Comma 18 3" xfId="322" xr:uid="{E608EDD8-F2A3-41D0-9BB9-BD03DCCCBAB2}"/>
    <cellStyle name="Comma 18 4" xfId="323" xr:uid="{CF470669-6571-4300-9410-BC69B3C318A9}"/>
    <cellStyle name="Comma 18 5" xfId="324" xr:uid="{34E4B599-728F-4D54-B9EC-B449C89F0739}"/>
    <cellStyle name="Comma 18 6" xfId="325" xr:uid="{9B63B997-411C-4005-90B5-79AD692D6AA4}"/>
    <cellStyle name="Comma 19" xfId="326" xr:uid="{79E97749-FC5B-4CAB-BFB5-7F53F10AA814}"/>
    <cellStyle name="Comma 19 2" xfId="327" xr:uid="{AFF8CAB0-CCA4-4575-836C-154B684D24C3}"/>
    <cellStyle name="Comma 19 2 2" xfId="328" xr:uid="{CD4E9634-626D-47AA-9C1B-7D4E2615FD28}"/>
    <cellStyle name="Comma 19 2 2 2" xfId="329" xr:uid="{2903A451-DF67-4B6F-B469-C0FE3F38F117}"/>
    <cellStyle name="Comma 19 2 3" xfId="330" xr:uid="{2BB0642B-7EFB-4262-8A3C-D481702AE0B3}"/>
    <cellStyle name="Comma 19 2 4" xfId="331" xr:uid="{B31D6D31-A666-4B36-BC18-0C1C1373531E}"/>
    <cellStyle name="Comma 19 2 5" xfId="332" xr:uid="{2B5332E3-424B-4E2A-AEE3-9051AD4FB478}"/>
    <cellStyle name="Comma 19 3" xfId="333" xr:uid="{424DEB62-EFA2-4FA5-8332-22A80B734BDE}"/>
    <cellStyle name="Comma 19 4" xfId="334" xr:uid="{43973DCE-43A0-4844-A58B-A1D7EA83136C}"/>
    <cellStyle name="Comma 19 5" xfId="335" xr:uid="{1DC22204-8EB8-4CCC-9192-40F7FB2BE4C5}"/>
    <cellStyle name="Comma 19 6" xfId="336" xr:uid="{921DF9C1-DCCD-4D75-B057-D35C48A5E417}"/>
    <cellStyle name="Comma 2" xfId="337" xr:uid="{8E6802B5-BEB0-4552-BC28-00210EB9590A}"/>
    <cellStyle name="Comma 2 2" xfId="338" xr:uid="{8E45EC03-F4D9-4046-9E16-611A0AD84B70}"/>
    <cellStyle name="Comma 2 2 2" xfId="339" xr:uid="{1A28B007-6468-46C0-AA94-0A86A5641A64}"/>
    <cellStyle name="Comma 2 2 2 2" xfId="340" xr:uid="{21752AE5-084F-4297-8021-0F6177101F17}"/>
    <cellStyle name="Comma 2 2 2 2 2" xfId="341" xr:uid="{63B7B160-E780-4AC3-9CED-EF771045EE79}"/>
    <cellStyle name="Comma 2 2 2 2 3" xfId="342" xr:uid="{E3C83E83-799E-4E23-B290-6530672CDAE8}"/>
    <cellStyle name="Comma 2 2 2 2 4" xfId="343" xr:uid="{4B461395-0F0C-4D5C-BC7E-1585C6552A26}"/>
    <cellStyle name="Comma 2 2 2 2 5" xfId="344" xr:uid="{12D0D561-4EB8-43A4-98BA-C2F4745FA0A3}"/>
    <cellStyle name="Comma 2 2 2 3" xfId="345" xr:uid="{EF6FF838-7EC2-4728-9E54-EC40EE3C037E}"/>
    <cellStyle name="Comma 2 2 2 4" xfId="346" xr:uid="{1291F88E-3650-4D82-B149-E013EF81B7DA}"/>
    <cellStyle name="Comma 2 2 2 5" xfId="347" xr:uid="{5CF3C527-6856-4155-848E-83F72AF31CB1}"/>
    <cellStyle name="Comma 2 2 2 6" xfId="348" xr:uid="{86BB375F-D859-482B-9FBF-27E0C1B36959}"/>
    <cellStyle name="Comma 2 2 3" xfId="349" xr:uid="{2C2F5D3C-E59C-4F13-ABEC-9CA253582E8B}"/>
    <cellStyle name="Comma 2 2 3 2" xfId="350" xr:uid="{A70EFE71-1AD3-4C6F-8FBB-154E5D65A140}"/>
    <cellStyle name="Comma 2 2 3 3" xfId="351" xr:uid="{2E5A26D6-5EB2-4A21-AE4E-3799F622BBD2}"/>
    <cellStyle name="Comma 2 2 3 4" xfId="352" xr:uid="{195CCC9F-B15D-4724-BC56-5642B27601B5}"/>
    <cellStyle name="Comma 2 2 3 5" xfId="353" xr:uid="{3FA8871B-8CD3-4DA4-A1D7-1F5F11007D9A}"/>
    <cellStyle name="Comma 2 2 4" xfId="354" xr:uid="{3A0A0085-D529-4244-964E-3DF31FDADB35}"/>
    <cellStyle name="Comma 2 2 4 2" xfId="355" xr:uid="{4A05252D-3866-45FA-9EEA-38D99FFEE383}"/>
    <cellStyle name="Comma 2 2 5" xfId="356" xr:uid="{E15C898E-E61F-41B8-86F1-01165EA3CEF8}"/>
    <cellStyle name="Comma 2 2 6" xfId="357" xr:uid="{5473FE44-E3DC-467C-97BC-A47B7225CEB3}"/>
    <cellStyle name="Comma 2 2 7" xfId="358" xr:uid="{141E3B59-4BE0-46E1-B5C6-DB045A8519F1}"/>
    <cellStyle name="Comma 2 3" xfId="359" xr:uid="{C3510131-8845-4E12-88C4-C32D221BA3AD}"/>
    <cellStyle name="Comma 2 3 2" xfId="360" xr:uid="{C36831EE-EC25-4535-986A-1E707C8BA677}"/>
    <cellStyle name="Comma 2 3 2 2" xfId="361" xr:uid="{EBB858E9-4EC4-459C-9336-0EA77A56B1E8}"/>
    <cellStyle name="Comma 2 3 2 2 2" xfId="362" xr:uid="{030B2466-2F7E-477C-84A5-656B646055EA}"/>
    <cellStyle name="Comma 2 3 2 3" xfId="363" xr:uid="{FF0C828E-42D8-4A63-98AC-C1D12282632E}"/>
    <cellStyle name="Comma 2 3 2 4" xfId="364" xr:uid="{6F5CC822-472A-4D47-80A9-4A5323751CBB}"/>
    <cellStyle name="Comma 2 3 2 5" xfId="365" xr:uid="{5ECC9C4C-0410-48AF-BAB8-66528575C447}"/>
    <cellStyle name="Comma 2 3 3" xfId="366" xr:uid="{AAEAFA0F-E725-4B0C-83C0-8D0E79BD6D38}"/>
    <cellStyle name="Comma 2 3 3 2" xfId="367" xr:uid="{9FE67837-F12B-4A3E-A1A3-F6486653E1AA}"/>
    <cellStyle name="Comma 2 3 3 3" xfId="368" xr:uid="{088CAA2B-D4CE-4514-9824-FA42DD71789F}"/>
    <cellStyle name="Comma 2 3 4" xfId="369" xr:uid="{5D449D4C-61A7-4A0D-8728-0D82E075E0BB}"/>
    <cellStyle name="Comma 2 3 5" xfId="370" xr:uid="{15A47C79-88A6-4E36-9AD2-0E03333B4BDA}"/>
    <cellStyle name="Comma 2 4" xfId="371" xr:uid="{5E467B52-AC03-4C96-85EE-3D648B41CA35}"/>
    <cellStyle name="Comma 2 4 2" xfId="372" xr:uid="{2BA6903E-2249-40FF-82C7-EC057DDA6C20}"/>
    <cellStyle name="Comma 2 4 2 2" xfId="373" xr:uid="{85ADF0B9-015D-42A3-836A-7DEC66DAFF21}"/>
    <cellStyle name="Comma 2 4 2 2 2" xfId="374" xr:uid="{7F6FCB9B-09F2-4050-A073-EB7B025BC654}"/>
    <cellStyle name="Comma 2 4 2 2 3" xfId="375" xr:uid="{91E24957-E895-493F-947B-B9E6C9C7D1C0}"/>
    <cellStyle name="Comma 2 4 2 3" xfId="376" xr:uid="{AEA5EE7C-DF2F-4844-B837-F192F335E35D}"/>
    <cellStyle name="Comma 2 4 2 4" xfId="377" xr:uid="{8A15927E-071D-4051-B0E9-E3DB7F36468E}"/>
    <cellStyle name="Comma 2 4 2 5" xfId="378" xr:uid="{63750458-71A9-4864-96B6-40922A2CE451}"/>
    <cellStyle name="Comma 2 4 3" xfId="379" xr:uid="{6E409AB5-5235-4708-9AF1-8254F192EA1C}"/>
    <cellStyle name="Comma 2 4 3 2" xfId="380" xr:uid="{6F6A51DA-9780-4233-946D-A569E3C984C0}"/>
    <cellStyle name="Comma 2 4 4" xfId="381" xr:uid="{12F0B88E-1766-4804-8406-6CE491FB9A0D}"/>
    <cellStyle name="Comma 2 4 5" xfId="382" xr:uid="{B5E5D8A7-E73E-484F-9E78-2EABF5FD6743}"/>
    <cellStyle name="Comma 2 4 6" xfId="383" xr:uid="{0E21C6FD-5C49-49B1-A8E3-D78AF4BB80C1}"/>
    <cellStyle name="Comma 2 5" xfId="384" xr:uid="{1B843E6F-338E-4AA2-853C-69FF9710797C}"/>
    <cellStyle name="Comma 2 5 2" xfId="385" xr:uid="{CF044B7B-D40A-4F99-A36D-E389CAF5A87A}"/>
    <cellStyle name="Comma 2 5 2 2" xfId="386" xr:uid="{A0D184CF-D243-4673-A88B-134F9DC7E569}"/>
    <cellStyle name="Comma 2 5 2 3" xfId="387" xr:uid="{E55E0D3F-54C4-435F-B2FB-02831AF87BB1}"/>
    <cellStyle name="Comma 2 5 2 4" xfId="388" xr:uid="{C27AA57B-394F-4862-98A9-C5692A7E6462}"/>
    <cellStyle name="Comma 2 5 3" xfId="389" xr:uid="{A01725EC-79EA-4855-896E-78ACA1E86FFF}"/>
    <cellStyle name="Comma 2 5 4" xfId="390" xr:uid="{D760026C-DEE7-4CFE-AC2D-FB4AB69C2510}"/>
    <cellStyle name="Comma 2 5 5" xfId="391" xr:uid="{4EB4E521-E40C-4FA9-BD69-A13F0AD80338}"/>
    <cellStyle name="Comma 2 6" xfId="392" xr:uid="{67303F42-0D8F-4F8E-AA95-476FB8DA5CB1}"/>
    <cellStyle name="Comma 2 6 2" xfId="393" xr:uid="{905C3196-64BD-4C94-A4AD-8A8273DA3FA3}"/>
    <cellStyle name="Comma 20" xfId="394" xr:uid="{25C8762B-5C24-45E7-98BE-AF78A685A912}"/>
    <cellStyle name="Comma 20 2" xfId="395" xr:uid="{DC7A266D-27C5-49D1-92C9-8149E4A95F7B}"/>
    <cellStyle name="Comma 20 2 2" xfId="396" xr:uid="{2701EBB2-5ABE-4DFD-9FF0-E6DC4F2D9AB9}"/>
    <cellStyle name="Comma 20 2 2 2" xfId="397" xr:uid="{E6625973-8244-438F-9FD1-1816ADEEA251}"/>
    <cellStyle name="Comma 20 2 3" xfId="398" xr:uid="{2F27977B-AB6B-43F2-A71A-9F234C5B4FE8}"/>
    <cellStyle name="Comma 20 2 4" xfId="399" xr:uid="{1612A89A-67E5-4971-B517-6B9C78CC5B37}"/>
    <cellStyle name="Comma 20 2 5" xfId="400" xr:uid="{DBB66DAD-2AE0-4FF5-ACC0-395C5F75ED9A}"/>
    <cellStyle name="Comma 20 3" xfId="401" xr:uid="{6DFFF3A4-AA87-473B-A350-09C83033DFAE}"/>
    <cellStyle name="Comma 20 4" xfId="402" xr:uid="{B5728892-B4CC-41E9-A479-A409600D663C}"/>
    <cellStyle name="Comma 20 5" xfId="403" xr:uid="{9051CE47-78AF-4BD4-B1C3-C200D9378CFA}"/>
    <cellStyle name="Comma 20 6" xfId="404" xr:uid="{1980D5E2-0F81-4DB6-A0C3-42D0EA85C41D}"/>
    <cellStyle name="Comma 21" xfId="405" xr:uid="{E2F35D59-296F-4BED-94B6-F8F31E162E56}"/>
    <cellStyle name="Comma 21 2" xfId="406" xr:uid="{4E1471D9-6EB5-4D49-B02C-505EAB075491}"/>
    <cellStyle name="Comma 21 2 2" xfId="407" xr:uid="{4B7839DB-9C2F-4164-B217-9DFDA9292435}"/>
    <cellStyle name="Comma 21 2 2 2" xfId="408" xr:uid="{FE28C414-BCF7-4766-89AB-04892373C380}"/>
    <cellStyle name="Comma 21 2 3" xfId="409" xr:uid="{55CDA8D6-1396-47D4-823D-9DF74488EC21}"/>
    <cellStyle name="Comma 21 2 4" xfId="410" xr:uid="{34FB3286-6712-476C-AA02-666DC65A8A44}"/>
    <cellStyle name="Comma 21 2 5" xfId="411" xr:uid="{AB8A9152-25D3-4D66-B344-03155CF7195D}"/>
    <cellStyle name="Comma 21 3" xfId="412" xr:uid="{2655ED8C-16EB-4A14-A094-9A2E68FE548D}"/>
    <cellStyle name="Comma 21 4" xfId="413" xr:uid="{7C8B0C98-FE9B-45AF-ABE8-C6450EDCA3F8}"/>
    <cellStyle name="Comma 21 5" xfId="414" xr:uid="{FB91072F-E6E8-40BD-BBDF-2F303BE4F8C2}"/>
    <cellStyle name="Comma 21 6" xfId="415" xr:uid="{AF99249E-C06A-47A3-9BCC-D7DFD219796B}"/>
    <cellStyle name="Comma 22" xfId="416" xr:uid="{5E762C01-8F74-4EFC-877E-933DD2D63663}"/>
    <cellStyle name="Comma 22 2" xfId="417" xr:uid="{C4BE0803-EF68-41F9-9C9E-22284EBB61D4}"/>
    <cellStyle name="Comma 22 2 2" xfId="418" xr:uid="{668C085D-F6D7-4F90-BF16-EECA370BD282}"/>
    <cellStyle name="Comma 22 2 2 2" xfId="419" xr:uid="{7E163512-3578-435C-B323-B019CB902D92}"/>
    <cellStyle name="Comma 22 2 3" xfId="420" xr:uid="{4D7EC932-EDF2-4A00-AF6A-81FE1C4B083E}"/>
    <cellStyle name="Comma 22 2 4" xfId="421" xr:uid="{FA07FE9A-AD69-4484-A241-E3FC63584FE1}"/>
    <cellStyle name="Comma 22 2 5" xfId="422" xr:uid="{358D0D4A-3761-40C6-A892-B407FBB6AC76}"/>
    <cellStyle name="Comma 22 3" xfId="423" xr:uid="{5A4DE5E8-518D-4E50-ADE8-5C9272EF7AFF}"/>
    <cellStyle name="Comma 22 4" xfId="424" xr:uid="{BCE3D8B7-279F-4130-8C88-1AA9AEA73608}"/>
    <cellStyle name="Comma 22 5" xfId="425" xr:uid="{FC83B495-1F28-420F-99F0-DDEE20FC044B}"/>
    <cellStyle name="Comma 22 6" xfId="426" xr:uid="{F9FE1728-1B77-40DE-8F7D-AE8A434C0DA7}"/>
    <cellStyle name="Comma 23" xfId="427" xr:uid="{CC963FDD-A8CA-4447-88B7-E4838B45824D}"/>
    <cellStyle name="Comma 23 2" xfId="428" xr:uid="{5D595424-F0CF-45EF-B019-3A3A746E5953}"/>
    <cellStyle name="Comma 23 2 2" xfId="429" xr:uid="{DF092951-F224-48C4-BB89-78F0419D7BE3}"/>
    <cellStyle name="Comma 23 2 2 2" xfId="430" xr:uid="{750D17CB-1BD9-48C4-990D-77B44273AECA}"/>
    <cellStyle name="Comma 23 2 3" xfId="431" xr:uid="{EBBD5837-D9E8-4E5A-842D-21E1FF2A899A}"/>
    <cellStyle name="Comma 23 2 4" xfId="432" xr:uid="{CFF0FEB6-12F4-4DC4-9DA6-5EB118CAADE8}"/>
    <cellStyle name="Comma 23 2 5" xfId="433" xr:uid="{0BF27633-FDDC-4EFE-B1C7-ABD4EE87EE71}"/>
    <cellStyle name="Comma 23 3" xfId="434" xr:uid="{3CC23B5B-F9F4-4331-8121-1609EED03110}"/>
    <cellStyle name="Comma 23 4" xfId="435" xr:uid="{10CB9527-166B-4DA5-9510-2608D675B400}"/>
    <cellStyle name="Comma 23 5" xfId="436" xr:uid="{1B89D644-3FE4-4BD9-A261-61A9A4CCF0D1}"/>
    <cellStyle name="Comma 23 6" xfId="437" xr:uid="{F1BB7808-44EE-43C3-95CE-9AE2E98FF2F6}"/>
    <cellStyle name="Comma 24" xfId="438" xr:uid="{1436E93D-87AC-415C-9A53-DC83C830D98A}"/>
    <cellStyle name="Comma 24 2" xfId="439" xr:uid="{2B587282-73F1-4D77-8294-A547897FE3E7}"/>
    <cellStyle name="Comma 24 2 2" xfId="440" xr:uid="{8FEAC65D-57D6-448C-81F1-DE30F67C5127}"/>
    <cellStyle name="Comma 24 2 2 2" xfId="441" xr:uid="{A8F99C4D-14C2-438B-A4A8-D2BAD42BCFFC}"/>
    <cellStyle name="Comma 24 2 3" xfId="442" xr:uid="{D82280E4-50B3-4BD5-BA95-E2C1459490DF}"/>
    <cellStyle name="Comma 24 2 4" xfId="443" xr:uid="{805E6375-ECEB-45BA-9475-325E0BE29761}"/>
    <cellStyle name="Comma 24 2 5" xfId="444" xr:uid="{A08DA507-B642-4A08-8B57-24CBE7E8F1B5}"/>
    <cellStyle name="Comma 24 3" xfId="445" xr:uid="{AE83EBCF-CD08-4455-ABD9-D8EB4A5E254D}"/>
    <cellStyle name="Comma 24 4" xfId="446" xr:uid="{5250BE16-91AD-47AE-A855-880F4D89DE8C}"/>
    <cellStyle name="Comma 24 5" xfId="447" xr:uid="{D0FDF1FB-D1C8-4868-B73E-C1A24500381E}"/>
    <cellStyle name="Comma 24 6" xfId="448" xr:uid="{FB11D96D-65C8-431A-A44D-B6323DE2F781}"/>
    <cellStyle name="Comma 25" xfId="449" xr:uid="{0291EE66-6825-450E-A567-4FD063BB0556}"/>
    <cellStyle name="Comma 25 2" xfId="450" xr:uid="{CD36EBD9-C234-424E-A28F-7F8420ABF280}"/>
    <cellStyle name="Comma 25 2 2" xfId="451" xr:uid="{CA7053C7-CC84-462A-A41F-21A282BC0438}"/>
    <cellStyle name="Comma 25 2 2 2" xfId="452" xr:uid="{DB0236E5-A037-436A-AF17-F8BEE992F06A}"/>
    <cellStyle name="Comma 25 2 3" xfId="453" xr:uid="{56C58E0B-B0EE-4DF6-972A-2FC4845BDF9B}"/>
    <cellStyle name="Comma 25 2 4" xfId="454" xr:uid="{0C954A59-EA4E-4273-9834-B898713274C5}"/>
    <cellStyle name="Comma 25 2 5" xfId="455" xr:uid="{7A701BCE-EEDF-48D9-ABA3-1FCCC574E8E5}"/>
    <cellStyle name="Comma 25 3" xfId="456" xr:uid="{17FB3F54-5153-4677-A980-7001C0DE8917}"/>
    <cellStyle name="Comma 25 4" xfId="457" xr:uid="{CD48F51A-33A6-496D-A4E6-C2BA247CAF84}"/>
    <cellStyle name="Comma 25 5" xfId="458" xr:uid="{C9574C6C-6A36-4D51-8CB2-42BC48400A7A}"/>
    <cellStyle name="Comma 25 6" xfId="459" xr:uid="{5F95D9FB-D5E9-4797-9C67-9EBB2F192A29}"/>
    <cellStyle name="Comma 26" xfId="460" xr:uid="{3FFFB81E-B3FC-4032-B436-C83838CE3FCF}"/>
    <cellStyle name="Comma 26 2" xfId="461" xr:uid="{E4852AEE-6A4B-491D-B6CD-A0A16C430E45}"/>
    <cellStyle name="Comma 26 2 2" xfId="462" xr:uid="{D9C80234-DC07-49E1-A47D-35AD17D93B9F}"/>
    <cellStyle name="Comma 26 2 2 2" xfId="463" xr:uid="{2BDCAC8F-8F62-4462-8B4F-2E0F94B68057}"/>
    <cellStyle name="Comma 26 2 3" xfId="464" xr:uid="{2EB649B0-39FA-4B80-A9CD-FDA51B956E05}"/>
    <cellStyle name="Comma 26 2 4" xfId="465" xr:uid="{02EF4E2D-EBD4-4EDE-B05D-632B40F22EFF}"/>
    <cellStyle name="Comma 26 2 5" xfId="466" xr:uid="{51EF7299-FE6A-4037-9CB3-3EADF5A1BA31}"/>
    <cellStyle name="Comma 26 3" xfId="467" xr:uid="{F9E0BB7D-9C51-42CB-BFCD-8CE372192FFD}"/>
    <cellStyle name="Comma 26 4" xfId="468" xr:uid="{215E477E-C9E2-44D5-A7F7-B6D445AC38A4}"/>
    <cellStyle name="Comma 26 5" xfId="469" xr:uid="{C9BAB46A-A40F-427C-9543-ECF28D88D251}"/>
    <cellStyle name="Comma 26 6" xfId="470" xr:uid="{00E268D1-3FB1-4A7D-9D28-C1248571C2B9}"/>
    <cellStyle name="Comma 27" xfId="471" xr:uid="{11D64A98-ED64-4457-A2B2-CDE359B02DB9}"/>
    <cellStyle name="Comma 27 2" xfId="472" xr:uid="{F002677B-1817-46F7-8308-C2C0FEF3F95E}"/>
    <cellStyle name="Comma 27 2 2" xfId="473" xr:uid="{8AF11F93-811D-4312-9B70-EA9C5E61A3DE}"/>
    <cellStyle name="Comma 27 2 2 2" xfId="474" xr:uid="{B7016FA5-79C8-4208-ADDD-F301EF3E3141}"/>
    <cellStyle name="Comma 27 2 3" xfId="475" xr:uid="{89A2BC60-B2E3-488C-A871-5485D45382A2}"/>
    <cellStyle name="Comma 27 2 4" xfId="476" xr:uid="{FF9C895B-A0A1-4326-B622-7BF308BF02BF}"/>
    <cellStyle name="Comma 27 2 5" xfId="477" xr:uid="{7B2C5E18-7CBD-4059-90A7-F25DAE399677}"/>
    <cellStyle name="Comma 27 3" xfId="478" xr:uid="{7FD1759B-1692-4219-9705-CF2E754013A1}"/>
    <cellStyle name="Comma 27 4" xfId="479" xr:uid="{104934F9-E9DE-46C5-9606-301E02475765}"/>
    <cellStyle name="Comma 27 5" xfId="480" xr:uid="{60DA98C8-42B3-4D8F-83E1-7D8256A1729A}"/>
    <cellStyle name="Comma 27 6" xfId="481" xr:uid="{B698672D-3C4E-46ED-A935-5C2D8E4C5AE8}"/>
    <cellStyle name="Comma 28" xfId="482" xr:uid="{D5EE6E21-2FF0-4401-B1B9-422CCFBB4E15}"/>
    <cellStyle name="Comma 28 2" xfId="483" xr:uid="{7986FACD-6074-4851-AEAD-7EF9CA0B65ED}"/>
    <cellStyle name="Comma 28 2 2" xfId="484" xr:uid="{6B09138D-5831-42BE-9BE5-8111010889C2}"/>
    <cellStyle name="Comma 28 2 2 2" xfId="485" xr:uid="{453B2E43-F89E-4E62-AFE8-437D2DC1400D}"/>
    <cellStyle name="Comma 28 2 3" xfId="486" xr:uid="{AC1349B3-68B3-4AAB-BB72-A135D0BC44C7}"/>
    <cellStyle name="Comma 28 2 4" xfId="487" xr:uid="{1DCF4927-C97E-4970-BAEF-C3DD5445B763}"/>
    <cellStyle name="Comma 28 2 5" xfId="488" xr:uid="{A705279A-692D-40B1-B36E-DAAD9BDB3138}"/>
    <cellStyle name="Comma 28 3" xfId="489" xr:uid="{85BD2AB8-AC58-4122-8DDB-B4074A801B4F}"/>
    <cellStyle name="Comma 28 4" xfId="490" xr:uid="{08CB0F27-8285-4AF1-90D7-5999C5EB106A}"/>
    <cellStyle name="Comma 28 5" xfId="491" xr:uid="{D31D8B25-C43A-4C0F-8E9C-6EAC853DE8F5}"/>
    <cellStyle name="Comma 28 6" xfId="492" xr:uid="{70D13F5C-B96A-4977-A39D-F3038FE12D8B}"/>
    <cellStyle name="Comma 29" xfId="493" xr:uid="{3E9EC953-8015-4017-88CC-001073682D33}"/>
    <cellStyle name="Comma 29 2" xfId="494" xr:uid="{1C68D9C6-4599-49A5-8E36-E36B1628EC29}"/>
    <cellStyle name="Comma 29 2 2" xfId="495" xr:uid="{F8595885-144F-46D0-B178-3B3E9C71FD1A}"/>
    <cellStyle name="Comma 29 2 2 2" xfId="496" xr:uid="{D8979213-3BD7-4CAB-B965-B2BE5CA56057}"/>
    <cellStyle name="Comma 29 2 3" xfId="497" xr:uid="{9A38ED93-28BF-4BCF-91B6-98280A31FFF7}"/>
    <cellStyle name="Comma 29 2 4" xfId="498" xr:uid="{335EB912-D074-44F8-9825-1513F62AE123}"/>
    <cellStyle name="Comma 29 2 5" xfId="499" xr:uid="{333573D2-C77D-48D8-AA11-F1462F032375}"/>
    <cellStyle name="Comma 29 3" xfId="500" xr:uid="{3FF6CA2A-3AE6-423F-90D2-05559BF666BA}"/>
    <cellStyle name="Comma 29 4" xfId="501" xr:uid="{B39C5283-1194-4089-8016-CC8E31FB90F5}"/>
    <cellStyle name="Comma 29 5" xfId="502" xr:uid="{03A52E53-D8BB-4364-95C8-531F0FA659A3}"/>
    <cellStyle name="Comma 29 6" xfId="503" xr:uid="{CA793FC0-C235-4EFC-AF8D-928D7EFC30E9}"/>
    <cellStyle name="Comma 3" xfId="504" xr:uid="{AAB800AD-E273-40A6-8CEF-073D18F0AB88}"/>
    <cellStyle name="Comma 3 2" xfId="505" xr:uid="{7CB2DADB-8986-470E-8C2D-150F0B0E8A40}"/>
    <cellStyle name="Comma 3 2 2" xfId="506" xr:uid="{C5DCDFC7-F153-4208-BCE2-F32E572FDBC9}"/>
    <cellStyle name="Comma 3 2 2 2" xfId="507" xr:uid="{07A17879-7201-41EB-A639-5772D59A5FE9}"/>
    <cellStyle name="Comma 3 2 2 2 2" xfId="508" xr:uid="{72CAEBC7-69BF-4D40-A6D2-ACE6DB2CB142}"/>
    <cellStyle name="Comma 3 2 2 3" xfId="509" xr:uid="{0F58F29D-84A4-4C32-ABF8-922965A355F7}"/>
    <cellStyle name="Comma 3 2 2 4" xfId="510" xr:uid="{C282099B-8A4E-4E67-8FD3-49884B9F2B74}"/>
    <cellStyle name="Comma 3 2 2 5" xfId="511" xr:uid="{33095D07-5B32-46FE-9617-4A9467154A34}"/>
    <cellStyle name="Comma 3 2 3" xfId="512" xr:uid="{3DA38978-F744-4E72-89BD-528E69C312C9}"/>
    <cellStyle name="Comma 3 2 3 2" xfId="513" xr:uid="{52D25129-D49A-497A-9A93-93F16E25902D}"/>
    <cellStyle name="Comma 3 2 4" xfId="514" xr:uid="{7235DF8D-212F-4215-BA5E-2459F411BB68}"/>
    <cellStyle name="Comma 3 2 5" xfId="515" xr:uid="{D27565DD-1912-4E96-9E2C-D344343FE9E5}"/>
    <cellStyle name="Comma 3 2 6" xfId="516" xr:uid="{EEE71650-C0B9-4BC1-962C-A39C7D558807}"/>
    <cellStyle name="Comma 3 3" xfId="517" xr:uid="{79511295-8E28-430A-83DA-65270142C081}"/>
    <cellStyle name="Comma 3 3 2" xfId="518" xr:uid="{089C119A-71FE-4D55-A7A8-BB49F8916060}"/>
    <cellStyle name="Comma 3 3 2 2" xfId="519" xr:uid="{E23E0F2E-59B4-43A4-9A19-8C75BF015A14}"/>
    <cellStyle name="Comma 3 3 2 2 2" xfId="520" xr:uid="{92E06B17-05F9-412C-AABD-37A8D731736D}"/>
    <cellStyle name="Comma 3 3 2 2 3" xfId="521" xr:uid="{078B9211-D391-465C-95EF-1E49501A3D0E}"/>
    <cellStyle name="Comma 3 3 2 3" xfId="522" xr:uid="{47EB7F8B-8BD4-4D4F-A2F8-86163787CD97}"/>
    <cellStyle name="Comma 3 3 2 4" xfId="523" xr:uid="{782AFDEB-FE91-4665-A5C3-492E4067BF77}"/>
    <cellStyle name="Comma 3 3 2 5" xfId="524" xr:uid="{8D02221B-8FB9-4879-A322-459A40C544E6}"/>
    <cellStyle name="Comma 3 3 3" xfId="525" xr:uid="{08C12C03-A5DF-40CA-83B5-7E12C259198F}"/>
    <cellStyle name="Comma 3 3 3 2" xfId="526" xr:uid="{7E842133-1553-4E8F-A86C-942A49760199}"/>
    <cellStyle name="Comma 3 3 4" xfId="527" xr:uid="{3EA1A7B3-E098-4473-8554-39355848747D}"/>
    <cellStyle name="Comma 3 3 5" xfId="528" xr:uid="{CE8DD59A-C6CE-4E61-A963-FF33017F0906}"/>
    <cellStyle name="Comma 3 3 6" xfId="529" xr:uid="{CF397DA6-E17E-4FDE-A994-E7DB7DDA7EA3}"/>
    <cellStyle name="Comma 3 4" xfId="530" xr:uid="{C80E8357-A2BA-499E-B42C-383ECA12649D}"/>
    <cellStyle name="Comma 3 4 2" xfId="531" xr:uid="{7240BE0C-BF9B-4131-B2D5-2CCC1A1A48D2}"/>
    <cellStyle name="Comma 3 4 2 2" xfId="532" xr:uid="{A134F4DC-579C-40F4-BBCE-F3A1A030FCB1}"/>
    <cellStyle name="Comma 3 4 2 2 2" xfId="533" xr:uid="{1E298654-8BB2-4124-B7D7-01508CD5DA3E}"/>
    <cellStyle name="Comma 3 4 2 3" xfId="534" xr:uid="{F6DE99A2-7AEE-4DC4-A266-CCCF258BB546}"/>
    <cellStyle name="Comma 3 4 2 4" xfId="535" xr:uid="{D99CBACD-97EA-4999-B8D4-C2B06D563398}"/>
    <cellStyle name="Comma 3 4 3" xfId="536" xr:uid="{3A1F6BEF-4E08-4E8A-B24E-836750F912AC}"/>
    <cellStyle name="Comma 3 4 4" xfId="537" xr:uid="{8CCD7095-F4E3-40BD-B016-5958A1EA1163}"/>
    <cellStyle name="Comma 3 4 5" xfId="538" xr:uid="{0B8F1EB5-D33F-406E-BA40-9015BA6B1D5C}"/>
    <cellStyle name="Comma 3 4 6" xfId="539" xr:uid="{BB1B19A8-8799-4798-BD93-05728FF1513B}"/>
    <cellStyle name="Comma 3 5" xfId="540" xr:uid="{F2B964BC-2894-44CA-B3DE-48256C378338}"/>
    <cellStyle name="Comma 3 5 2" xfId="541" xr:uid="{C32C1735-EE7F-4088-9EEC-97CD24861984}"/>
    <cellStyle name="Comma 3 5 2 2" xfId="542" xr:uid="{7FA58958-063E-4EDB-AD2A-D0BD66CB3DBC}"/>
    <cellStyle name="Comma 3 5 3" xfId="543" xr:uid="{06C55232-C6A2-4BFF-9B0D-8A50A132BF17}"/>
    <cellStyle name="Comma 3 5 4" xfId="544" xr:uid="{D382D470-C64A-4970-BB3A-0A9802FC7793}"/>
    <cellStyle name="Comma 3 6" xfId="545" xr:uid="{91C94312-0AD6-4DA0-A7F3-B1C006692C3C}"/>
    <cellStyle name="Comma 3 6 2" xfId="546" xr:uid="{ADD5CAC7-3FCE-4F66-917E-917BC41C556F}"/>
    <cellStyle name="Comma 3 7" xfId="547" xr:uid="{95C1B234-A3D7-4D4B-B850-0DAC50DB99CA}"/>
    <cellStyle name="Comma 3 8" xfId="548" xr:uid="{C4C8F758-F92F-4425-AC7F-ADFB8874A975}"/>
    <cellStyle name="Comma 3 9" xfId="549" xr:uid="{500D002A-7174-44B0-B40C-7D765C513267}"/>
    <cellStyle name="Comma 30" xfId="550" xr:uid="{F2ED733F-26D9-4D93-8852-D0757FE9FD82}"/>
    <cellStyle name="Comma 30 2" xfId="551" xr:uid="{7C1C963A-DF9D-4BA4-8B1C-1E4DBB00D275}"/>
    <cellStyle name="Comma 30 2 2" xfId="552" xr:uid="{76A6CADE-68A0-4255-B785-E0E5126043B3}"/>
    <cellStyle name="Comma 30 2 2 2" xfId="553" xr:uid="{900F6DC6-9FDD-4822-B410-8189E6AF604C}"/>
    <cellStyle name="Comma 30 2 3" xfId="554" xr:uid="{89621B56-6CCB-4BCD-8FAC-E2C6F3564695}"/>
    <cellStyle name="Comma 30 2 4" xfId="555" xr:uid="{1126F751-B6D1-4E40-8C94-F861F0404E95}"/>
    <cellStyle name="Comma 30 2 5" xfId="556" xr:uid="{D5907EB0-4B14-4A79-B07A-5127D83BE4DF}"/>
    <cellStyle name="Comma 30 3" xfId="557" xr:uid="{0943B568-8F1D-483B-B942-05F7AB9CDF50}"/>
    <cellStyle name="Comma 30 4" xfId="558" xr:uid="{7FBB27A1-5006-4526-889C-F04215DC274C}"/>
    <cellStyle name="Comma 30 5" xfId="559" xr:uid="{0A873E82-765A-4353-BE12-A4D02B5D9969}"/>
    <cellStyle name="Comma 30 6" xfId="560" xr:uid="{0531C86C-7263-4682-B2A5-7B32FC5DD4EC}"/>
    <cellStyle name="Comma 31" xfId="561" xr:uid="{033800CC-51E1-4FDA-BCFD-F3AC5F65E0D6}"/>
    <cellStyle name="Comma 31 2" xfId="562" xr:uid="{8D103967-8271-41C0-BE1B-A8D07E50D36B}"/>
    <cellStyle name="Comma 31 2 2" xfId="563" xr:uid="{78B0D45F-954C-4DF7-8ECA-D5809842BBBE}"/>
    <cellStyle name="Comma 31 2 2 2" xfId="564" xr:uid="{ECE86BDC-E700-49ED-96A7-ACA699849EF1}"/>
    <cellStyle name="Comma 31 2 3" xfId="565" xr:uid="{E519041B-DFFD-4594-979C-ADB27659D5BE}"/>
    <cellStyle name="Comma 31 2 4" xfId="566" xr:uid="{0726D174-D65C-4038-923E-AA5DAC356250}"/>
    <cellStyle name="Comma 31 2 5" xfId="567" xr:uid="{E5E31507-727D-43CB-BF74-B6E9E20BF44F}"/>
    <cellStyle name="Comma 31 3" xfId="568" xr:uid="{B5F32503-2BEF-4EF4-946E-488A7CF20919}"/>
    <cellStyle name="Comma 31 4" xfId="569" xr:uid="{26081A08-E5BC-4F62-BF0A-D42C4E6E6602}"/>
    <cellStyle name="Comma 31 5" xfId="570" xr:uid="{B2FF6487-9C01-41BD-9094-E0BB3D5A164B}"/>
    <cellStyle name="Comma 31 6" xfId="571" xr:uid="{9F1CFB58-8277-4212-8B89-1774AA100089}"/>
    <cellStyle name="Comma 32" xfId="572" xr:uid="{B7832611-0A70-408E-863B-41C8C41F1305}"/>
    <cellStyle name="Comma 32 2" xfId="573" xr:uid="{25C1A60C-5666-4774-A427-29EE58B5063C}"/>
    <cellStyle name="Comma 32 2 2" xfId="574" xr:uid="{87C83C94-A14E-4ADA-9FC0-4DB663B41E84}"/>
    <cellStyle name="Comma 32 2 2 2" xfId="575" xr:uid="{E7BCB7E0-8434-442A-993E-EF54E812E27C}"/>
    <cellStyle name="Comma 32 2 3" xfId="576" xr:uid="{F474D7E2-FC19-4382-89C1-9F4060C1D962}"/>
    <cellStyle name="Comma 32 2 4" xfId="577" xr:uid="{5D34533E-CDA8-4AC4-A01D-00A2043A31A3}"/>
    <cellStyle name="Comma 32 2 5" xfId="578" xr:uid="{D28EFA0E-EC34-4613-AD85-85284553CEC4}"/>
    <cellStyle name="Comma 32 3" xfId="579" xr:uid="{AEBE8ED5-DFB8-427A-B980-BC7CA6BDB8A7}"/>
    <cellStyle name="Comma 32 4" xfId="580" xr:uid="{8272CB15-1F1C-4BA6-B39B-AAD9E6925B42}"/>
    <cellStyle name="Comma 32 5" xfId="581" xr:uid="{A391F0AE-1706-4DC2-B7E6-310D98CD22BF}"/>
    <cellStyle name="Comma 32 6" xfId="582" xr:uid="{EC690F44-3F7A-4D0A-93F1-860A8978C1D7}"/>
    <cellStyle name="Comma 33" xfId="583" xr:uid="{C16F2A69-D4F4-4DCA-8594-360B9F59E710}"/>
    <cellStyle name="Comma 33 2" xfId="584" xr:uid="{1381CA62-7CC5-492A-81D4-9587F3BEDC75}"/>
    <cellStyle name="Comma 33 2 2" xfId="585" xr:uid="{402687CD-E790-4F00-B2EA-EDA541926CC9}"/>
    <cellStyle name="Comma 33 2 2 2" xfId="586" xr:uid="{1136B82F-F83E-4169-9934-C91C14257448}"/>
    <cellStyle name="Comma 33 2 3" xfId="587" xr:uid="{5ACE21DF-C0A0-43F1-A927-725E600411DB}"/>
    <cellStyle name="Comma 33 2 4" xfId="588" xr:uid="{A26F45F6-E8F8-4B8C-981D-1B8EC2D25128}"/>
    <cellStyle name="Comma 33 2 5" xfId="589" xr:uid="{707A7A9F-6F89-45D4-B2E9-A7BE660C28D1}"/>
    <cellStyle name="Comma 33 3" xfId="590" xr:uid="{EE673CEA-68CD-4F22-A28D-FECCE2712DB4}"/>
    <cellStyle name="Comma 33 4" xfId="591" xr:uid="{0EF376E0-8FB6-4BAE-8D0F-CDF52C6E5953}"/>
    <cellStyle name="Comma 33 5" xfId="592" xr:uid="{C981D99D-5E30-41A3-8594-03B0A603FB4E}"/>
    <cellStyle name="Comma 33 6" xfId="593" xr:uid="{DEA125AB-6C85-42E9-B7DE-42B28CDAE5F0}"/>
    <cellStyle name="Comma 34" xfId="594" xr:uid="{79610DCD-0FC3-41CE-A125-75E3C82CFB5F}"/>
    <cellStyle name="Comma 34 2" xfId="595" xr:uid="{37A4D412-E469-4399-B7C3-355B72D32C00}"/>
    <cellStyle name="Comma 34 2 2" xfId="596" xr:uid="{405D214D-ABDA-4C36-A945-00A9A73247D7}"/>
    <cellStyle name="Comma 34 2 2 2" xfId="597" xr:uid="{D3C29C44-D9A4-4ED2-B25C-8B510D80DB3F}"/>
    <cellStyle name="Comma 34 2 3" xfId="598" xr:uid="{8590CE36-A87B-4072-8208-91BB2D558B24}"/>
    <cellStyle name="Comma 34 2 4" xfId="599" xr:uid="{24C86EAD-CF5F-4A19-8DA4-8252E10B75CD}"/>
    <cellStyle name="Comma 34 2 5" xfId="600" xr:uid="{159A7B55-CD1B-4FFA-991D-851BC179FC1A}"/>
    <cellStyle name="Comma 34 3" xfId="601" xr:uid="{4D6324A1-12EC-4424-A77A-35895BE3B56B}"/>
    <cellStyle name="Comma 34 4" xfId="602" xr:uid="{F3B68802-27EE-4C7F-839D-62640576CFE4}"/>
    <cellStyle name="Comma 34 5" xfId="603" xr:uid="{6C313606-B356-4652-9848-BA8AC4590761}"/>
    <cellStyle name="Comma 34 6" xfId="604" xr:uid="{EAFAC907-1E7C-4305-9F58-F133AFB4BF44}"/>
    <cellStyle name="Comma 35" xfId="605" xr:uid="{52C05E94-F9FA-43DA-8391-4A6564F11792}"/>
    <cellStyle name="Comma 35 2" xfId="606" xr:uid="{3537613F-33B6-47B9-948B-A1F7E3AAA1FB}"/>
    <cellStyle name="Comma 35 2 2" xfId="607" xr:uid="{80F0384D-5493-4974-99F3-6582992474E1}"/>
    <cellStyle name="Comma 35 2 2 2" xfId="608" xr:uid="{4C798F7A-B1A4-4445-8924-BDBC37BF85BB}"/>
    <cellStyle name="Comma 35 2 3" xfId="609" xr:uid="{EC1E3829-86D5-4C6B-8887-F17F45C61194}"/>
    <cellStyle name="Comma 35 2 4" xfId="610" xr:uid="{DD16BEC7-ADBD-41C1-9214-9D8205E23D8F}"/>
    <cellStyle name="Comma 35 2 5" xfId="611" xr:uid="{2D4DCE42-5E8E-4028-A390-71866DBBC068}"/>
    <cellStyle name="Comma 35 3" xfId="612" xr:uid="{B933F18E-E610-456D-8ED8-7A3D5F3E05C4}"/>
    <cellStyle name="Comma 35 4" xfId="613" xr:uid="{A020EB70-878E-4D78-9981-EECC2B146BF7}"/>
    <cellStyle name="Comma 35 5" xfId="614" xr:uid="{7DEBA1C9-F1AF-4F57-B92E-DFE370690C79}"/>
    <cellStyle name="Comma 35 6" xfId="615" xr:uid="{6967FF24-B71F-415B-B76D-3F62747C03FF}"/>
    <cellStyle name="Comma 36" xfId="616" xr:uid="{3312ED0B-558A-445A-A67F-16DE6513D534}"/>
    <cellStyle name="Comma 36 2" xfId="617" xr:uid="{71B48959-7273-4741-91D6-3683C235FB91}"/>
    <cellStyle name="Comma 36 2 2" xfId="618" xr:uid="{0104B5C8-EA83-4668-AAE5-80E7A9F89755}"/>
    <cellStyle name="Comma 36 2 2 2" xfId="619" xr:uid="{9C18F2C0-D07B-4ADE-81B3-4FAEFFB721A3}"/>
    <cellStyle name="Comma 36 2 3" xfId="620" xr:uid="{925FA4FB-C1EB-40C0-B274-B78A76402E11}"/>
    <cellStyle name="Comma 36 2 4" xfId="621" xr:uid="{BD6ED4FC-44F2-4A14-B9BB-DA6CEB1C24CD}"/>
    <cellStyle name="Comma 36 2 5" xfId="622" xr:uid="{BEDBD946-3595-4A01-B952-D07D8ACE09D8}"/>
    <cellStyle name="Comma 36 3" xfId="623" xr:uid="{0D99D511-ECFE-41E0-9173-FBDD1CD3E8C9}"/>
    <cellStyle name="Comma 36 4" xfId="624" xr:uid="{265435FF-05C1-48DD-B744-005A1EA188A4}"/>
    <cellStyle name="Comma 36 5" xfId="625" xr:uid="{29DBCB46-39D9-43D5-83B1-1001CEA70B4D}"/>
    <cellStyle name="Comma 36 6" xfId="626" xr:uid="{22BE6D85-31D4-49AA-BDCF-5F6705AEB23A}"/>
    <cellStyle name="Comma 37" xfId="627" xr:uid="{D7CC2BA6-40CA-400F-8D23-B2DC83F0C4F7}"/>
    <cellStyle name="Comma 37 2" xfId="628" xr:uid="{7BC715CE-C40A-4C18-BB4E-5EBF6B0930F6}"/>
    <cellStyle name="Comma 37 2 2" xfId="629" xr:uid="{7975310D-92AA-4C3D-B63A-C992F2C26D33}"/>
    <cellStyle name="Comma 37 2 2 2" xfId="630" xr:uid="{E2DB52C4-BC4A-4BDC-9420-3BADA2D82587}"/>
    <cellStyle name="Comma 37 2 3" xfId="631" xr:uid="{3F2FDD46-A8DD-4E51-960C-3F3B80CC9BD3}"/>
    <cellStyle name="Comma 37 2 4" xfId="632" xr:uid="{1EDBD708-929B-4687-B69D-27FD495505A2}"/>
    <cellStyle name="Comma 37 2 5" xfId="633" xr:uid="{5ABC5F31-3D27-4068-A5D9-794A099D868E}"/>
    <cellStyle name="Comma 37 3" xfId="634" xr:uid="{861D0AF7-39F4-40F5-B594-1129F13EAB74}"/>
    <cellStyle name="Comma 37 4" xfId="635" xr:uid="{D0F3F6EE-4A87-4DEB-A927-820A561167EA}"/>
    <cellStyle name="Comma 37 5" xfId="636" xr:uid="{529B8628-C7EB-4830-A6C1-E591581B7E64}"/>
    <cellStyle name="Comma 37 6" xfId="637" xr:uid="{BB10738E-1E09-4910-B377-A326AF499615}"/>
    <cellStyle name="Comma 38" xfId="638" xr:uid="{3FB23EBF-2C4D-4EC7-90BA-99339AE2610B}"/>
    <cellStyle name="Comma 38 2" xfId="639" xr:uid="{38DF4470-6B7A-4D4F-A099-0EAB352262A2}"/>
    <cellStyle name="Comma 38 2 2" xfId="640" xr:uid="{68A27D7A-BD8F-468F-953E-1F74BE469774}"/>
    <cellStyle name="Comma 38 2 2 2" xfId="641" xr:uid="{8A8298E2-0E26-48FA-8B57-CE0CCBF7FC1B}"/>
    <cellStyle name="Comma 38 2 3" xfId="642" xr:uid="{3FE2F027-29AF-4471-8A6D-2A4E4139EE4F}"/>
    <cellStyle name="Comma 38 2 4" xfId="643" xr:uid="{CC3F9033-F7E2-450D-9954-6283963DA062}"/>
    <cellStyle name="Comma 38 2 5" xfId="644" xr:uid="{D83FE8D4-BFB6-4C41-9654-E84E62EB682B}"/>
    <cellStyle name="Comma 38 3" xfId="645" xr:uid="{9AFBA730-9F8E-44B3-BF83-3C4565B1AF8A}"/>
    <cellStyle name="Comma 38 4" xfId="646" xr:uid="{A4967984-2485-4673-9AAD-47EA03756EA4}"/>
    <cellStyle name="Comma 38 5" xfId="647" xr:uid="{FF5816C5-1FF7-4FDE-B4C1-0D0FFA13FAA3}"/>
    <cellStyle name="Comma 38 6" xfId="648" xr:uid="{CCFDEA2D-ED37-4A0A-8811-44324285E76A}"/>
    <cellStyle name="Comma 39" xfId="649" xr:uid="{F764C8C3-2210-4DA4-A09A-696AD82C8F1A}"/>
    <cellStyle name="Comma 39 2" xfId="650" xr:uid="{9DDE1EAD-0FDB-4020-8D2A-88F87E043CC6}"/>
    <cellStyle name="Comma 39 2 2" xfId="651" xr:uid="{16F69A72-85A2-40C2-8723-EB7BC1D273C7}"/>
    <cellStyle name="Comma 39 2 2 2" xfId="652" xr:uid="{1D581A28-E003-46F2-A032-3B25817B8464}"/>
    <cellStyle name="Comma 39 2 3" xfId="653" xr:uid="{BBCCAA25-AC32-4106-B3C1-2926BA8B332C}"/>
    <cellStyle name="Comma 39 2 4" xfId="654" xr:uid="{B92A087B-0EA2-4467-AA6F-B8801A8A5FD9}"/>
    <cellStyle name="Comma 39 2 5" xfId="655" xr:uid="{BA6C6168-32D7-4836-A0BB-CBCC0C700D55}"/>
    <cellStyle name="Comma 39 3" xfId="656" xr:uid="{DE5E7AFD-E3AD-4F61-9E5F-8F8CF2B31C04}"/>
    <cellStyle name="Comma 39 4" xfId="657" xr:uid="{7EE02A75-1FE4-44C1-9425-5F6FBCD48B39}"/>
    <cellStyle name="Comma 39 5" xfId="658" xr:uid="{60F79037-ECD7-4F91-AEB8-73DFD471C788}"/>
    <cellStyle name="Comma 39 6" xfId="659" xr:uid="{65089224-1033-4C71-93D4-17121F8A51C3}"/>
    <cellStyle name="Comma 4" xfId="660" xr:uid="{E331BBC1-8CDC-45BC-B071-2F25DE1C2C0A}"/>
    <cellStyle name="Comma 4 2" xfId="661" xr:uid="{CDE92F88-816B-42FB-ACA0-36D6CA1887A2}"/>
    <cellStyle name="Comma 4 2 2" xfId="662" xr:uid="{AEB7A15E-FDC9-40D7-A6CB-351AB3F8F2B0}"/>
    <cellStyle name="Comma 4 2 2 2" xfId="663" xr:uid="{B3708BF4-9FF3-49B9-959E-1535F571F616}"/>
    <cellStyle name="Comma 4 2 2 2 2" xfId="664" xr:uid="{00D303BD-91E5-4372-AFD2-1CB49878D423}"/>
    <cellStyle name="Comma 4 2 2 3" xfId="665" xr:uid="{E039BF6F-75DD-4346-958E-7C3409B32413}"/>
    <cellStyle name="Comma 4 2 2 4" xfId="666" xr:uid="{0F57C6FC-0490-46C5-B1CF-A91FF3687EBE}"/>
    <cellStyle name="Comma 4 2 2 5" xfId="667" xr:uid="{F1EB54B5-C23B-4C73-B0D0-2BA7DFD9113E}"/>
    <cellStyle name="Comma 4 2 3" xfId="668" xr:uid="{85A1B1B2-085C-471E-8F5C-D310FAC28BAC}"/>
    <cellStyle name="Comma 4 2 3 2" xfId="669" xr:uid="{873CE861-0410-4BAB-A18E-CE36CBA6AEE7}"/>
    <cellStyle name="Comma 4 2 4" xfId="670" xr:uid="{F6CCB916-2051-47E0-8668-FA500B3E4EAB}"/>
    <cellStyle name="Comma 4 2 5" xfId="671" xr:uid="{C8ECC41B-004F-483D-AEC2-3DF1D7F042D7}"/>
    <cellStyle name="Comma 4 2 6" xfId="672" xr:uid="{C3565B43-D8A7-4EE5-82E5-FA74CE537A49}"/>
    <cellStyle name="Comma 4 3" xfId="673" xr:uid="{6FB470CA-949C-4645-B98E-7CF95C7661B9}"/>
    <cellStyle name="Comma 4 3 2" xfId="674" xr:uid="{36305736-8E3A-43B2-A0BF-50AB5F981F53}"/>
    <cellStyle name="Comma 4 3 3" xfId="675" xr:uid="{4AAEA079-0718-48CC-82E1-59FC4454E26D}"/>
    <cellStyle name="Comma 4 3 4" xfId="676" xr:uid="{339F71B3-915C-46CF-A1B6-033EF42E0C3B}"/>
    <cellStyle name="Comma 4 3 5" xfId="677" xr:uid="{7CB04F8D-28B4-4530-A668-869EBBC274B4}"/>
    <cellStyle name="Comma 4 4" xfId="678" xr:uid="{4DE8A9BB-9E5D-4952-9954-EE467F026047}"/>
    <cellStyle name="Comma 4 5" xfId="679" xr:uid="{2B2A4D92-ACFB-42FE-9AFF-448CCD97DD4F}"/>
    <cellStyle name="Comma 4 6" xfId="680" xr:uid="{1392ED07-7B2C-4280-B772-BB02F9932F66}"/>
    <cellStyle name="Comma 4 7" xfId="681" xr:uid="{24E9E581-0A64-4630-A296-564B99E895E0}"/>
    <cellStyle name="Comma 40" xfId="682" xr:uid="{C991BCBE-D58D-4CF8-8EB0-EF84EE368BAD}"/>
    <cellStyle name="Comma 40 2" xfId="683" xr:uid="{56E62FE3-F5CF-45F0-A3D6-BC0D1D750DD8}"/>
    <cellStyle name="Comma 40 2 2" xfId="684" xr:uid="{8CCB8F92-A874-42D8-A7E0-4C845D1B1ACF}"/>
    <cellStyle name="Comma 40 2 2 2" xfId="685" xr:uid="{E7FA998D-EDB9-46EF-B4C6-C2BC76392D21}"/>
    <cellStyle name="Comma 40 2 3" xfId="686" xr:uid="{6B372A8F-3CF5-4B18-998C-493788344FF0}"/>
    <cellStyle name="Comma 40 2 4" xfId="687" xr:uid="{15989B1B-BC54-4AFC-A1D0-0FAB001D62DE}"/>
    <cellStyle name="Comma 40 2 5" xfId="688" xr:uid="{1761DA91-59D8-42F4-B6D3-CF01DDBD556E}"/>
    <cellStyle name="Comma 40 3" xfId="689" xr:uid="{7BFA5400-D90F-403D-A976-8DCCF8554E31}"/>
    <cellStyle name="Comma 40 4" xfId="690" xr:uid="{ECC50FA1-F49C-4E9F-BEEB-EFA1B7E44F0F}"/>
    <cellStyle name="Comma 40 5" xfId="691" xr:uid="{F8445F16-E1F5-4397-813B-CDE7F5636812}"/>
    <cellStyle name="Comma 40 6" xfId="692" xr:uid="{8B3EEC67-AE93-4A0C-AF9A-040B3C718276}"/>
    <cellStyle name="Comma 41" xfId="693" xr:uid="{26D5FA96-C024-4282-9A94-814B761663F5}"/>
    <cellStyle name="Comma 41 2" xfId="694" xr:uid="{195164A4-6932-45B2-8E03-38E3A48B1A4B}"/>
    <cellStyle name="Comma 41 2 2" xfId="695" xr:uid="{CD49E87D-C021-454F-880F-166DFE3BB212}"/>
    <cellStyle name="Comma 41 2 2 2" xfId="696" xr:uid="{69EE7FE7-ACC5-4005-AC99-7F588808AD0E}"/>
    <cellStyle name="Comma 41 2 3" xfId="697" xr:uid="{7F786DDA-62EA-44B5-8C68-1AF8D9AA67B4}"/>
    <cellStyle name="Comma 41 2 4" xfId="698" xr:uid="{A5DC1383-20B7-4C26-89D3-C2FD6D3ED40A}"/>
    <cellStyle name="Comma 41 2 5" xfId="699" xr:uid="{854C06D1-02B8-4D5E-B780-FD4F7812388C}"/>
    <cellStyle name="Comma 41 3" xfId="700" xr:uid="{EA2B70C6-08AE-4602-AB94-CEB09049BE1F}"/>
    <cellStyle name="Comma 41 4" xfId="701" xr:uid="{3E086C32-8A0B-40F2-8E06-852AA2301BE4}"/>
    <cellStyle name="Comma 41 5" xfId="702" xr:uid="{0F0C9FA1-9CDA-4F91-8EDA-168B365E96D0}"/>
    <cellStyle name="Comma 41 6" xfId="703" xr:uid="{ABADDF21-1391-48F6-923E-3D151D0C3CE8}"/>
    <cellStyle name="Comma 42" xfId="704" xr:uid="{15A8C5C5-FDDA-4DE3-81A0-E1BA5EA405DF}"/>
    <cellStyle name="Comma 42 2" xfId="705" xr:uid="{AA505CA4-E87F-4330-8DB2-1BC1C988C8F4}"/>
    <cellStyle name="Comma 42 2 2" xfId="706" xr:uid="{937FFE4D-DF72-49E0-8B6A-60229EA60ABF}"/>
    <cellStyle name="Comma 42 2 2 2" xfId="707" xr:uid="{2F2C648C-7DEA-4843-A2D9-6CA5070BF8B2}"/>
    <cellStyle name="Comma 42 2 3" xfId="708" xr:uid="{FF6383B4-98B8-4587-BFAD-0FD53D01FA3D}"/>
    <cellStyle name="Comma 42 2 4" xfId="709" xr:uid="{D98F6393-C554-4778-8418-087351C2E620}"/>
    <cellStyle name="Comma 42 2 5" xfId="710" xr:uid="{713BC38F-03BC-408F-A89B-4448401B69B3}"/>
    <cellStyle name="Comma 42 3" xfId="711" xr:uid="{F6289A27-FD78-432B-8F9C-715D83F7CFF5}"/>
    <cellStyle name="Comma 42 4" xfId="712" xr:uid="{D24FF100-6936-4E64-9148-D86B79D6F370}"/>
    <cellStyle name="Comma 42 5" xfId="713" xr:uid="{06EE8A0B-ACA2-42F4-80A8-62DDD6B08779}"/>
    <cellStyle name="Comma 42 6" xfId="714" xr:uid="{C8ED58DC-F3E1-4906-8256-9B9557D7F47F}"/>
    <cellStyle name="Comma 43" xfId="715" xr:uid="{843D4CDF-1C30-482F-8880-21A9E7553A8C}"/>
    <cellStyle name="Comma 43 2" xfId="716" xr:uid="{E134785C-B00D-46C6-82A8-D9C0CD9B2649}"/>
    <cellStyle name="Comma 43 2 2" xfId="717" xr:uid="{D23C44CD-4821-43E3-8D09-FCFDFF32D4DB}"/>
    <cellStyle name="Comma 43 2 2 2" xfId="718" xr:uid="{8D065167-994C-4845-A34F-75FE2D244917}"/>
    <cellStyle name="Comma 43 2 3" xfId="719" xr:uid="{1CD5713F-3A8A-49F0-833A-A3BA3A58B365}"/>
    <cellStyle name="Comma 43 2 4" xfId="720" xr:uid="{4AE35473-6295-4843-AE5A-6902527633BE}"/>
    <cellStyle name="Comma 43 2 5" xfId="721" xr:uid="{B11FEF38-FDB5-459B-8CEF-38D9D586D424}"/>
    <cellStyle name="Comma 43 3" xfId="722" xr:uid="{1F26ACA0-42CA-41B8-9F45-DFE2B93B624F}"/>
    <cellStyle name="Comma 43 4" xfId="723" xr:uid="{E0BE3599-3B93-46A6-BFD1-A19768B19915}"/>
    <cellStyle name="Comma 43 5" xfId="724" xr:uid="{43877A3F-4685-4C7F-85F3-FB346DCBBED9}"/>
    <cellStyle name="Comma 43 6" xfId="725" xr:uid="{F1F18683-B773-4867-85F1-DD34B5A1DADF}"/>
    <cellStyle name="Comma 44" xfId="726" xr:uid="{A4E70F4E-D776-475A-BE2E-465615E7B8DC}"/>
    <cellStyle name="Comma 44 2" xfId="727" xr:uid="{8EEED7F8-2568-40AB-9653-A5F369828768}"/>
    <cellStyle name="Comma 44 2 2" xfId="728" xr:uid="{AA78AB73-B901-48A0-A194-6B360BBC8F3C}"/>
    <cellStyle name="Comma 44 2 2 2" xfId="729" xr:uid="{5B1AE5C1-541C-484D-BF4E-3B9A4E91BACB}"/>
    <cellStyle name="Comma 44 2 3" xfId="730" xr:uid="{DD2371FE-0020-49B1-AA40-D2675FC96224}"/>
    <cellStyle name="Comma 44 2 4" xfId="731" xr:uid="{3B8D3F9C-5C2E-47EB-8765-F72E2273414F}"/>
    <cellStyle name="Comma 44 2 5" xfId="732" xr:uid="{ACA2D00C-3180-4B2B-AB9B-EC203F18B282}"/>
    <cellStyle name="Comma 44 3" xfId="733" xr:uid="{437DD529-7C5D-41F4-B3D4-E23193F47B78}"/>
    <cellStyle name="Comma 44 4" xfId="734" xr:uid="{6112495E-8DF0-43FD-869E-2D137AD839ED}"/>
    <cellStyle name="Comma 44 5" xfId="735" xr:uid="{E48C4FF9-E068-4DF3-8CB1-5A6E2E3F5423}"/>
    <cellStyle name="Comma 44 6" xfId="736" xr:uid="{BF32F9EB-3EA2-4671-8B01-15FD84E7D167}"/>
    <cellStyle name="Comma 45" xfId="737" xr:uid="{67332C38-9B30-45BF-B1F2-D3E361E1A245}"/>
    <cellStyle name="Comma 45 2" xfId="738" xr:uid="{75DDF0CD-6859-49A1-99FA-B56B89E1B086}"/>
    <cellStyle name="Comma 45 2 2" xfId="739" xr:uid="{427D2187-A37E-43B9-9D8A-B0CB3F6C2E73}"/>
    <cellStyle name="Comma 45 2 2 2" xfId="740" xr:uid="{990DDF3B-12AF-4E92-9000-EB99B2A18A22}"/>
    <cellStyle name="Comma 45 2 3" xfId="741" xr:uid="{963257DF-D391-4867-9152-38A35224A1E2}"/>
    <cellStyle name="Comma 45 2 4" xfId="742" xr:uid="{326B199B-F93E-4046-9F2B-4C490E2EEB8D}"/>
    <cellStyle name="Comma 45 2 5" xfId="743" xr:uid="{4214F240-9789-4E9A-B0A6-547614C1EDD4}"/>
    <cellStyle name="Comma 45 3" xfId="744" xr:uid="{A8568AE1-02AA-4F39-BB1A-57766D1780C5}"/>
    <cellStyle name="Comma 45 4" xfId="745" xr:uid="{277FD988-AB13-4525-8275-49EBA6A4EC6F}"/>
    <cellStyle name="Comma 45 5" xfId="746" xr:uid="{9EC3C9E2-7FB0-4608-842F-75A68428E0AF}"/>
    <cellStyle name="Comma 45 6" xfId="747" xr:uid="{C522F40C-8A86-4424-92A4-C2C87C9540B9}"/>
    <cellStyle name="Comma 46" xfId="748" xr:uid="{6FDFA8E8-722F-4040-BC83-8A2DF1C978E2}"/>
    <cellStyle name="Comma 46 2" xfId="749" xr:uid="{86DC2293-0701-477E-98D1-87716EE2AAA9}"/>
    <cellStyle name="Comma 46 2 2" xfId="750" xr:uid="{0AAAF02F-F02B-494C-A82F-3E779743EC93}"/>
    <cellStyle name="Comma 46 2 2 2" xfId="751" xr:uid="{7EE63444-CE27-4501-936C-3292C9BE9695}"/>
    <cellStyle name="Comma 46 2 3" xfId="752" xr:uid="{4A93DB26-0139-44C3-A305-0E99FC5594AA}"/>
    <cellStyle name="Comma 46 2 4" xfId="753" xr:uid="{8931AC9A-A584-48D8-93AD-E1BDDD7BAC6A}"/>
    <cellStyle name="Comma 46 2 5" xfId="754" xr:uid="{4B6F944A-4C6F-4172-85E2-061051C9C169}"/>
    <cellStyle name="Comma 46 3" xfId="755" xr:uid="{5C946EBF-3B08-4917-9FBD-40D8B3ECCC57}"/>
    <cellStyle name="Comma 46 4" xfId="756" xr:uid="{D164C80A-8BA9-419B-A771-D1E5E3E0E837}"/>
    <cellStyle name="Comma 46 5" xfId="757" xr:uid="{E354F6FC-5172-447A-94CA-0E5C940CEDA1}"/>
    <cellStyle name="Comma 46 6" xfId="758" xr:uid="{530FD072-AF5F-4C6B-99CE-536540BA4770}"/>
    <cellStyle name="Comma 47" xfId="759" xr:uid="{26AD26BC-6DFB-4800-90F2-B5E2D61BC444}"/>
    <cellStyle name="Comma 47 2" xfId="760" xr:uid="{8DEB265A-B6DB-486A-BCDC-82F539691350}"/>
    <cellStyle name="Comma 47 2 2" xfId="761" xr:uid="{67982116-7B0E-48BF-B9F9-21E60C50C457}"/>
    <cellStyle name="Comma 47 2 2 2" xfId="762" xr:uid="{41CA96C9-5AE0-4294-B2AF-8C38C7FF81D8}"/>
    <cellStyle name="Comma 47 2 3" xfId="763" xr:uid="{0497A708-B4BB-4D5F-93B5-7BBBAC122952}"/>
    <cellStyle name="Comma 47 2 4" xfId="764" xr:uid="{19CD131F-5F16-40E4-97B9-A88307218C91}"/>
    <cellStyle name="Comma 47 2 5" xfId="765" xr:uid="{AFA51C97-1081-435D-AA57-C63BB48598BF}"/>
    <cellStyle name="Comma 47 3" xfId="766" xr:uid="{863FB1B8-07B5-4F6E-AE9C-DC023B57B1F7}"/>
    <cellStyle name="Comma 47 4" xfId="767" xr:uid="{8ACEBF76-C012-44AF-BFD9-243A6D0FCA4E}"/>
    <cellStyle name="Comma 47 5" xfId="768" xr:uid="{125641C8-4A53-43BC-A741-05B085F724B5}"/>
    <cellStyle name="Comma 47 6" xfId="769" xr:uid="{6757F94B-DAB6-4AAA-9110-1563FE72D0CB}"/>
    <cellStyle name="Comma 48" xfId="770" xr:uid="{EAE091F5-3568-4509-B4C6-F4595EB892B7}"/>
    <cellStyle name="Comma 48 2" xfId="771" xr:uid="{5EE644B8-C833-415D-B9B9-472F12894389}"/>
    <cellStyle name="Comma 48 2 2" xfId="772" xr:uid="{DFE609BD-8ADE-47E0-BE38-A23B661C1EBB}"/>
    <cellStyle name="Comma 48 2 2 2" xfId="773" xr:uid="{A0DA2E56-857C-426A-B3F7-7D75575CA80A}"/>
    <cellStyle name="Comma 48 2 3" xfId="774" xr:uid="{B9DF204C-2A07-4884-AD1A-91F44761D6AF}"/>
    <cellStyle name="Comma 48 2 4" xfId="775" xr:uid="{E4929ADD-9A5E-4B99-A6DF-77D5E9129209}"/>
    <cellStyle name="Comma 48 2 5" xfId="776" xr:uid="{6CB2DD69-F040-4A98-886D-DBD337A56223}"/>
    <cellStyle name="Comma 48 3" xfId="777" xr:uid="{55BE55C5-C38E-4FC5-8D95-C9FA1358FB21}"/>
    <cellStyle name="Comma 48 4" xfId="778" xr:uid="{6EC8C1AE-30AB-4986-BF99-872205B40972}"/>
    <cellStyle name="Comma 48 5" xfId="779" xr:uid="{2A24E6A0-D78A-4726-9905-2467DFA23B29}"/>
    <cellStyle name="Comma 48 6" xfId="780" xr:uid="{3E9B96D1-1480-425C-8CB6-2CA74FD91140}"/>
    <cellStyle name="Comma 49" xfId="781" xr:uid="{574751D9-8A88-46AE-87A4-776A8B7B0CB7}"/>
    <cellStyle name="Comma 49 2" xfId="782" xr:uid="{649640F8-0D98-4CD6-99FB-2E210DDFF749}"/>
    <cellStyle name="Comma 49 2 2" xfId="783" xr:uid="{F88B3BDF-D053-4128-8CA6-36250FEFCBB9}"/>
    <cellStyle name="Comma 49 2 2 2" xfId="784" xr:uid="{83A9779D-8FEA-4143-9248-38ECE17CAAE1}"/>
    <cellStyle name="Comma 49 2 3" xfId="785" xr:uid="{57CF61DA-8FA4-41A4-8F5D-3B42BA985932}"/>
    <cellStyle name="Comma 49 2 4" xfId="786" xr:uid="{222EF069-62E9-4824-B644-767BD00AAACB}"/>
    <cellStyle name="Comma 49 2 5" xfId="787" xr:uid="{53B7F70B-85ED-4EB4-B50B-DF86EE1A81BB}"/>
    <cellStyle name="Comma 49 3" xfId="788" xr:uid="{14283002-E9F0-4D98-B957-DEF95653E0D4}"/>
    <cellStyle name="Comma 49 4" xfId="789" xr:uid="{F13E4E27-DBB6-4A4F-9D4E-1E267C2DCFED}"/>
    <cellStyle name="Comma 49 5" xfId="790" xr:uid="{BEFA50E8-AAD4-453D-BD93-71142883DDD3}"/>
    <cellStyle name="Comma 49 6" xfId="791" xr:uid="{48422F17-D7C7-48E8-A931-357B3ED3F803}"/>
    <cellStyle name="Comma 5" xfId="792" xr:uid="{47FFD5FE-AF94-48C6-B12E-7035E9CDA389}"/>
    <cellStyle name="Comma 5 2" xfId="793" xr:uid="{1747AE4A-E434-4E6C-AA10-7CCA855437DB}"/>
    <cellStyle name="Comma 5 2 2" xfId="794" xr:uid="{2152B28F-6785-458F-84B6-73BBA84AF05C}"/>
    <cellStyle name="Comma 5 2 2 2" xfId="795" xr:uid="{041173D7-5861-4B87-AE45-C6D939CAC66F}"/>
    <cellStyle name="Comma 5 2 2 2 2" xfId="796" xr:uid="{C1276063-13A7-4842-8E63-38C06F218F29}"/>
    <cellStyle name="Comma 5 2 2 3" xfId="797" xr:uid="{83DCAF73-6D04-4CA6-BD86-9CCD8D175FE0}"/>
    <cellStyle name="Comma 5 2 2 4" xfId="798" xr:uid="{447377C9-6DB9-4D48-AF0C-1803A9A54BC6}"/>
    <cellStyle name="Comma 5 2 2 5" xfId="799" xr:uid="{E4F80785-7C85-49D1-B22B-E64B1E9A3797}"/>
    <cellStyle name="Comma 5 2 3" xfId="800" xr:uid="{E237B6E1-CCB7-40E8-A07D-D4DFE67FF22A}"/>
    <cellStyle name="Comma 5 2 3 2" xfId="801" xr:uid="{B86B09BF-5167-474D-A1A6-15F007304588}"/>
    <cellStyle name="Comma 5 2 4" xfId="802" xr:uid="{DAE7B191-C81B-480F-8A26-3BEEE2808868}"/>
    <cellStyle name="Comma 5 2 5" xfId="803" xr:uid="{CA115A45-884C-4293-82AE-2614641F94F5}"/>
    <cellStyle name="Comma 5 2 6" xfId="804" xr:uid="{3E1D44F3-BA5D-46FE-AFAE-45B3C49C7059}"/>
    <cellStyle name="Comma 5 3" xfId="805" xr:uid="{80C2E6F4-DDA5-449D-BB1E-227E73161E44}"/>
    <cellStyle name="Comma 5 3 2" xfId="806" xr:uid="{047FE295-8A9B-4DCD-B0D4-C4B1F0F97A21}"/>
    <cellStyle name="Comma 5 3 2 2" xfId="807" xr:uid="{BFFA3DFB-461B-488E-A367-382B6FCA2348}"/>
    <cellStyle name="Comma 5 3 3" xfId="808" xr:uid="{28B1E64F-EE92-4BD9-83B6-65E798520917}"/>
    <cellStyle name="Comma 5 3 4" xfId="809" xr:uid="{1FC4AF22-7234-4DFC-81B5-10DDD79A4617}"/>
    <cellStyle name="Comma 5 3 5" xfId="810" xr:uid="{45167C41-A704-49D4-830B-573746681B66}"/>
    <cellStyle name="Comma 5 4" xfId="811" xr:uid="{C3434B51-317F-4200-BB6C-1F16B770F3F8}"/>
    <cellStyle name="Comma 5 4 2" xfId="812" xr:uid="{0388EEA5-8E60-49B3-83D6-4ABFF9739F82}"/>
    <cellStyle name="Comma 5 5" xfId="813" xr:uid="{E7802807-7C73-4E3B-88B0-BB0E23F25A31}"/>
    <cellStyle name="Comma 5 5 2" xfId="814" xr:uid="{BD4CD9EB-6009-4D8C-89C6-92302DA398BC}"/>
    <cellStyle name="Comma 5 6" xfId="815" xr:uid="{49A83AB2-53EB-4B48-8E47-483E604EE572}"/>
    <cellStyle name="Comma 5 7" xfId="816" xr:uid="{3E9B41FB-B126-443B-B08B-E1F8357B597F}"/>
    <cellStyle name="Comma 50" xfId="817" xr:uid="{6C2343E3-87EF-457E-853C-CC56E10E28D5}"/>
    <cellStyle name="Comma 50 2" xfId="818" xr:uid="{D485FB17-937D-4E1F-B666-C3AACF3A385D}"/>
    <cellStyle name="Comma 50 2 2" xfId="819" xr:uid="{72B4F0E8-433E-40F7-A496-5D765B0C1DF9}"/>
    <cellStyle name="Comma 50 2 2 2" xfId="820" xr:uid="{32F5E7E7-DCD8-48F2-8E4C-9225ACC6E475}"/>
    <cellStyle name="Comma 50 2 3" xfId="821" xr:uid="{EB4CD6E8-3992-4481-AB05-AE7AB1F0A384}"/>
    <cellStyle name="Comma 50 2 4" xfId="822" xr:uid="{0F50B411-2B8F-49FD-8FE3-496BD407A090}"/>
    <cellStyle name="Comma 50 2 5" xfId="823" xr:uid="{35FE52F9-1B99-43AD-962B-24E4E519F8E1}"/>
    <cellStyle name="Comma 50 3" xfId="824" xr:uid="{67707294-FE9C-4A93-B683-21C8C0FA064F}"/>
    <cellStyle name="Comma 50 4" xfId="825" xr:uid="{9E08BB8E-819B-4872-BED9-1542CD145BC1}"/>
    <cellStyle name="Comma 50 5" xfId="826" xr:uid="{FC9F9CE6-10E8-4B5B-8C1D-06A53EA71849}"/>
    <cellStyle name="Comma 50 6" xfId="827" xr:uid="{FECAE0A6-9F2F-4AF3-BEDB-29BF7D6490D9}"/>
    <cellStyle name="Comma 51" xfId="828" xr:uid="{3B201629-C4E2-4AB8-9F8F-D3CA9176CA48}"/>
    <cellStyle name="Comma 51 2" xfId="829" xr:uid="{BB2EFC5B-AFEA-4A42-97F8-351085D267F6}"/>
    <cellStyle name="Comma 51 2 2" xfId="830" xr:uid="{71761329-2576-4CC0-BC37-195FD0E6E2AF}"/>
    <cellStyle name="Comma 51 2 2 2" xfId="831" xr:uid="{BEF2186F-C64F-4CAB-AF58-94EEBC3D66B8}"/>
    <cellStyle name="Comma 51 2 3" xfId="832" xr:uid="{E87580A5-2255-410C-98C6-27D6AB946C9A}"/>
    <cellStyle name="Comma 51 2 4" xfId="833" xr:uid="{DEB13829-27E7-42B1-941D-F71FD112862D}"/>
    <cellStyle name="Comma 51 2 5" xfId="834" xr:uid="{ED0A4EC4-EC0D-422B-99B3-3584CCB0FE18}"/>
    <cellStyle name="Comma 51 3" xfId="835" xr:uid="{D1274C25-7CF5-4F21-B7D2-4D6E0A031089}"/>
    <cellStyle name="Comma 51 4" xfId="836" xr:uid="{8204FC5A-18F7-4444-B7AC-A9ED794B9AAF}"/>
    <cellStyle name="Comma 51 5" xfId="837" xr:uid="{67D722AE-F766-4224-81FA-DE565A7942B6}"/>
    <cellStyle name="Comma 51 6" xfId="838" xr:uid="{398A6733-6654-4FC0-8DA5-C62A536E6EE9}"/>
    <cellStyle name="Comma 52" xfId="839" xr:uid="{E2653219-7EC9-443A-A4FF-D54D20742902}"/>
    <cellStyle name="Comma 52 2" xfId="840" xr:uid="{AA4A5B63-F3B8-4181-81C8-83FDDCAB7CF0}"/>
    <cellStyle name="Comma 52 2 2" xfId="841" xr:uid="{958964C1-7BDA-4B16-997C-B1B36B1B5C74}"/>
    <cellStyle name="Comma 52 2 2 2" xfId="842" xr:uid="{19C02756-1D4B-4150-8259-ED56DE82A2EA}"/>
    <cellStyle name="Comma 52 2 3" xfId="843" xr:uid="{B5573031-6BEC-455E-AF70-59D09EADB8B1}"/>
    <cellStyle name="Comma 52 2 4" xfId="844" xr:uid="{0B057B41-0BD9-4F56-8973-EFAC9B69D879}"/>
    <cellStyle name="Comma 52 2 5" xfId="845" xr:uid="{F9DF2E25-ABFB-45D9-B304-BC667F578616}"/>
    <cellStyle name="Comma 52 3" xfId="846" xr:uid="{3F4351B3-8413-4822-AA35-9715FA472CC9}"/>
    <cellStyle name="Comma 52 4" xfId="847" xr:uid="{0E65D543-1DEC-47FA-9461-8A8FAB3BBC9B}"/>
    <cellStyle name="Comma 52 5" xfId="848" xr:uid="{3DE4F8FA-7D14-4D15-89A8-026687EB14C7}"/>
    <cellStyle name="Comma 52 6" xfId="849" xr:uid="{4747101C-E666-402F-AAD7-B56E398D92EC}"/>
    <cellStyle name="Comma 53" xfId="850" xr:uid="{ADC329E4-63AB-47E8-8851-DA9DFE5844A5}"/>
    <cellStyle name="Comma 53 2" xfId="851" xr:uid="{D4059A4C-C482-4A16-BEA2-13C2212FD67D}"/>
    <cellStyle name="Comma 53 2 2" xfId="852" xr:uid="{6F1B20CF-CB74-4DCB-B8F6-D4595EEBB527}"/>
    <cellStyle name="Comma 53 2 2 2" xfId="853" xr:uid="{172BDDAD-A792-4D52-AD9E-D75116D9BA8F}"/>
    <cellStyle name="Comma 53 2 3" xfId="854" xr:uid="{E4DC2F7C-2366-42BB-B0BF-173F2B384580}"/>
    <cellStyle name="Comma 53 2 4" xfId="855" xr:uid="{7FC61875-CA36-43E5-B1C0-A06E2DCC462A}"/>
    <cellStyle name="Comma 53 2 5" xfId="856" xr:uid="{D8D92A15-475F-4C84-8792-6B39052FFE55}"/>
    <cellStyle name="Comma 53 3" xfId="857" xr:uid="{EA7CE7E5-2455-41E3-8A0F-BDBF4B5E1C54}"/>
    <cellStyle name="Comma 53 4" xfId="858" xr:uid="{CFC5BC99-151A-4EE9-A459-C58D2B8248F2}"/>
    <cellStyle name="Comma 53 5" xfId="859" xr:uid="{9E96007F-FB2E-4EA9-BDEB-BC751C02B957}"/>
    <cellStyle name="Comma 53 6" xfId="860" xr:uid="{B2732D58-5410-4813-981A-30CB6F980B2E}"/>
    <cellStyle name="Comma 54" xfId="861" xr:uid="{0E998370-AC95-4B09-A326-5B2228683C80}"/>
    <cellStyle name="Comma 54 2" xfId="862" xr:uid="{B808F334-F9C0-4DA9-A3C4-C4ACC1234646}"/>
    <cellStyle name="Comma 54 2 2" xfId="863" xr:uid="{659B7CB8-EF64-4176-9A3B-A3C936605CAF}"/>
    <cellStyle name="Comma 54 2 2 2" xfId="864" xr:uid="{D253DC7A-DA8C-4D06-A4BB-E9D8A184D2D5}"/>
    <cellStyle name="Comma 54 2 3" xfId="865" xr:uid="{C993D4A8-3790-4CC7-8C9A-3B1D7059F60A}"/>
    <cellStyle name="Comma 54 2 4" xfId="866" xr:uid="{F089C991-EF46-42BE-A7C6-958525EDFC03}"/>
    <cellStyle name="Comma 54 2 5" xfId="867" xr:uid="{8C24ECC4-3C8F-4527-9B7C-2C59653CF469}"/>
    <cellStyle name="Comma 54 3" xfId="868" xr:uid="{D2678BB1-0392-40A7-B8F0-9DE459929D1F}"/>
    <cellStyle name="Comma 54 4" xfId="869" xr:uid="{9ACE1E42-25BA-40DB-8612-612B62C50B11}"/>
    <cellStyle name="Comma 54 5" xfId="870" xr:uid="{71D64A06-8BF2-4C88-AB46-E3A987F5114A}"/>
    <cellStyle name="Comma 54 6" xfId="871" xr:uid="{783AE0AD-CA6B-40C1-8C95-645419F07AC9}"/>
    <cellStyle name="Comma 55" xfId="872" xr:uid="{AC83F09E-FD6C-4EA0-BDAC-336B351B194D}"/>
    <cellStyle name="Comma 55 2" xfId="873" xr:uid="{6E8336F9-1AC8-4152-8801-9A8416BC0648}"/>
    <cellStyle name="Comma 55 2 2" xfId="874" xr:uid="{BF047A26-DBA5-4E82-9750-AABB439F8C3E}"/>
    <cellStyle name="Comma 55 2 2 2" xfId="875" xr:uid="{9F67EA86-1C0A-45E1-AB90-DB2A550EE72C}"/>
    <cellStyle name="Comma 55 2 3" xfId="876" xr:uid="{84B93E7B-7C7A-4CF0-B0A7-0978087EF709}"/>
    <cellStyle name="Comma 55 2 4" xfId="877" xr:uid="{DACF6683-19B0-4740-8374-2788C53205C0}"/>
    <cellStyle name="Comma 55 2 5" xfId="878" xr:uid="{90FD2533-7138-4DE2-A5B3-4D074D2349AF}"/>
    <cellStyle name="Comma 55 3" xfId="879" xr:uid="{ADD1A588-396A-4FDA-AC74-EF379DDD5C6B}"/>
    <cellStyle name="Comma 55 4" xfId="880" xr:uid="{BD4C3570-88FE-4578-8F5B-9D00660DE3FE}"/>
    <cellStyle name="Comma 55 5" xfId="881" xr:uid="{8310A744-B060-4A46-AA31-166A461AB317}"/>
    <cellStyle name="Comma 55 6" xfId="882" xr:uid="{4B47AE6B-353C-435D-9C4D-B3CCD8F09921}"/>
    <cellStyle name="Comma 56" xfId="883" xr:uid="{207FE957-7D87-4C7F-BF9C-152158081085}"/>
    <cellStyle name="Comma 56 2" xfId="884" xr:uid="{1C2BDFD0-A454-47E1-A196-3CF434427E67}"/>
    <cellStyle name="Comma 56 2 2" xfId="885" xr:uid="{0DDE5633-4D08-42E1-BA54-56BA39D32E5B}"/>
    <cellStyle name="Comma 56 2 2 2" xfId="886" xr:uid="{6BF10CF4-98C7-494A-93BF-845D2B63642A}"/>
    <cellStyle name="Comma 56 2 3" xfId="887" xr:uid="{ADF84D8F-63B7-4276-821C-74FBFAA4DB0B}"/>
    <cellStyle name="Comma 56 2 4" xfId="888" xr:uid="{55C89EC6-D354-4F09-8005-9F409043BCFD}"/>
    <cellStyle name="Comma 56 2 5" xfId="889" xr:uid="{4CA4184D-9573-46B0-981C-A966F7A25155}"/>
    <cellStyle name="Comma 56 3" xfId="890" xr:uid="{503511D2-D8C7-4615-960D-A268C58119EE}"/>
    <cellStyle name="Comma 56 4" xfId="891" xr:uid="{A9693CF6-DD51-4A9F-930C-FB3C1B62A613}"/>
    <cellStyle name="Comma 56 5" xfId="892" xr:uid="{33D35009-25C1-4782-8E3F-46E474EF8F4A}"/>
    <cellStyle name="Comma 56 6" xfId="893" xr:uid="{7E7B9D33-FF28-4D02-9462-63167CC90E50}"/>
    <cellStyle name="Comma 57" xfId="894" xr:uid="{EA16EBE7-8F5C-4D0D-9AD6-3BA53C2D02E7}"/>
    <cellStyle name="Comma 57 2" xfId="895" xr:uid="{94A9A161-B93A-45C2-B57C-BCAA5CDACBCD}"/>
    <cellStyle name="Comma 57 2 2" xfId="896" xr:uid="{202B427D-0A0A-4F28-9684-57C0CCE92235}"/>
    <cellStyle name="Comma 57 2 2 2" xfId="897" xr:uid="{E23CE618-12EC-410B-9F74-AE5A1F4CF1D1}"/>
    <cellStyle name="Comma 57 2 3" xfId="898" xr:uid="{2576CEEF-F3A0-4B06-AB67-1AF96CCE955E}"/>
    <cellStyle name="Comma 57 2 4" xfId="899" xr:uid="{DD1F524D-C470-4D82-8654-4195B7F51121}"/>
    <cellStyle name="Comma 57 2 5" xfId="900" xr:uid="{ED6DB373-BAF0-4C93-A6E2-AA6D360075C3}"/>
    <cellStyle name="Comma 57 3" xfId="901" xr:uid="{1BEC5FB4-F176-487E-A2AA-74C3BCFFD647}"/>
    <cellStyle name="Comma 57 4" xfId="902" xr:uid="{773CFD98-BB5F-497C-8019-29DB56AFDB9C}"/>
    <cellStyle name="Comma 57 5" xfId="903" xr:uid="{624E0931-72AD-4785-9A30-4F76743B83A0}"/>
    <cellStyle name="Comma 57 6" xfId="904" xr:uid="{DEC94E8A-58AB-4736-8942-CD924862BC89}"/>
    <cellStyle name="Comma 58" xfId="905" xr:uid="{CBD4E587-65E9-4A39-99C1-6DF2ED8E2673}"/>
    <cellStyle name="Comma 58 2" xfId="906" xr:uid="{E578FFE3-2194-4888-B685-A4C7D06AECB2}"/>
    <cellStyle name="Comma 58 2 2" xfId="907" xr:uid="{FA1F12A6-0923-474D-AEF8-761F48803BF7}"/>
    <cellStyle name="Comma 58 2 2 2" xfId="908" xr:uid="{081569F9-F4CC-4E74-A50E-A198CC07066B}"/>
    <cellStyle name="Comma 58 2 3" xfId="909" xr:uid="{998A034A-B43B-461B-9415-F07397E1F0C1}"/>
    <cellStyle name="Comma 58 2 4" xfId="910" xr:uid="{B38C8438-1358-4CC8-B47B-8F7CE8E45106}"/>
    <cellStyle name="Comma 58 2 5" xfId="911" xr:uid="{C23FACA7-E9C8-43B2-A6A4-56D75351454E}"/>
    <cellStyle name="Comma 58 3" xfId="912" xr:uid="{DE9EE956-55AA-4151-A3D8-B11ACC09C993}"/>
    <cellStyle name="Comma 58 4" xfId="913" xr:uid="{95F87608-4E44-4D83-B219-DF961964F2CA}"/>
    <cellStyle name="Comma 58 5" xfId="914" xr:uid="{CD10151B-6562-4796-A858-C04699F091AA}"/>
    <cellStyle name="Comma 58 6" xfId="915" xr:uid="{0305A2CC-6166-4C7D-9553-82DEE02E73F7}"/>
    <cellStyle name="Comma 59" xfId="916" xr:uid="{00737220-AE16-48AF-B8F6-A45817371675}"/>
    <cellStyle name="Comma 59 2" xfId="917" xr:uid="{7A154F73-8BAE-4176-A12C-9B2F6C5E2D07}"/>
    <cellStyle name="Comma 59 2 2" xfId="918" xr:uid="{EE580E76-9242-47EE-9212-E5E015334F6C}"/>
    <cellStyle name="Comma 59 2 2 2" xfId="919" xr:uid="{7E39F970-329D-4EA9-8680-D9ED28287A0E}"/>
    <cellStyle name="Comma 59 2 3" xfId="920" xr:uid="{80B2C475-BFCB-4E0D-AC3A-5F75A25E40F6}"/>
    <cellStyle name="Comma 59 2 4" xfId="921" xr:uid="{05983A50-E0BF-439E-B818-47DB31FE22F3}"/>
    <cellStyle name="Comma 59 2 5" xfId="922" xr:uid="{94F82FB7-25E8-454F-825A-EF2D997E73A3}"/>
    <cellStyle name="Comma 59 3" xfId="923" xr:uid="{6F2CDCE4-4EAF-4753-833C-F0720975EC05}"/>
    <cellStyle name="Comma 59 4" xfId="924" xr:uid="{23594500-DB99-4715-861C-06790516386C}"/>
    <cellStyle name="Comma 59 5" xfId="925" xr:uid="{2FABB168-1761-46DF-9BB6-537108E214BB}"/>
    <cellStyle name="Comma 59 6" xfId="926" xr:uid="{CBEE1B46-BFAC-4070-988B-1A3D7E31D311}"/>
    <cellStyle name="Comma 6" xfId="927" xr:uid="{A55F889E-75BC-4E5A-8324-812E37A5F305}"/>
    <cellStyle name="Comma 6 2" xfId="928" xr:uid="{D20F0AA0-C4D8-4DCF-BECA-1386B5683805}"/>
    <cellStyle name="Comma 6 2 2" xfId="929" xr:uid="{C328838F-83D8-4AD6-9644-C68E80AFE459}"/>
    <cellStyle name="Comma 6 2 2 2" xfId="930" xr:uid="{FF0E88F8-5B32-4883-A30D-938F7E10A9F9}"/>
    <cellStyle name="Comma 6 2 3" xfId="931" xr:uid="{E944A5B5-B1B8-43E8-A31F-F4502CD84DBD}"/>
    <cellStyle name="Comma 6 2 4" xfId="932" xr:uid="{F93D5A13-6951-451A-B89A-E041CD1308C6}"/>
    <cellStyle name="Comma 6 2 5" xfId="933" xr:uid="{C3EA74B4-78E3-4876-8432-7D1573C1BA73}"/>
    <cellStyle name="Comma 6 3" xfId="934" xr:uid="{5442E929-BDBD-446D-9F3C-32EA67621B75}"/>
    <cellStyle name="Comma 6 3 2" xfId="935" xr:uid="{DD3CE30A-B336-4462-B703-E457076B02C8}"/>
    <cellStyle name="Comma 6 4" xfId="936" xr:uid="{44658BFB-AFA2-484C-97A2-4D17074FB81B}"/>
    <cellStyle name="Comma 6 4 2" xfId="937" xr:uid="{11B24C38-FEB3-45C9-844A-25D3C5D0B523}"/>
    <cellStyle name="Comma 6 5" xfId="938" xr:uid="{804C70DE-7844-4917-89F6-F83689BA7944}"/>
    <cellStyle name="Comma 6 6" xfId="939" xr:uid="{D68AB911-1381-48FF-8C71-1B18107F95F5}"/>
    <cellStyle name="Comma 60" xfId="940" xr:uid="{CE8B757A-67AE-4452-B9ED-C7A5D1666CED}"/>
    <cellStyle name="Comma 60 2" xfId="941" xr:uid="{A2BBE502-1B31-49F9-AF7A-947B16894BAB}"/>
    <cellStyle name="Comma 60 2 2" xfId="942" xr:uid="{1C743584-DBAC-4426-8D2F-BC18411AB068}"/>
    <cellStyle name="Comma 60 2 2 2" xfId="943" xr:uid="{50CB4C4C-BD14-4A54-BF87-7DE8D80FD80F}"/>
    <cellStyle name="Comma 60 2 3" xfId="944" xr:uid="{57D967CD-F130-437C-8247-65B342159D29}"/>
    <cellStyle name="Comma 60 2 4" xfId="945" xr:uid="{CD6F8772-ABB7-493E-B057-339E6356A532}"/>
    <cellStyle name="Comma 60 2 5" xfId="946" xr:uid="{F8A2E7AA-5CCC-4D1A-A4BE-E7990FC1213A}"/>
    <cellStyle name="Comma 60 3" xfId="947" xr:uid="{AFF98C2D-84F0-475A-88FA-EDDA6D8222C3}"/>
    <cellStyle name="Comma 60 4" xfId="948" xr:uid="{7219CC04-B885-4B7C-9784-C846EBD28D7C}"/>
    <cellStyle name="Comma 60 5" xfId="949" xr:uid="{ED6CA140-989C-4DD0-BC35-85BDEFA65C22}"/>
    <cellStyle name="Comma 60 6" xfId="950" xr:uid="{08CC1B27-D5D7-48E7-B591-E1115927B8E8}"/>
    <cellStyle name="Comma 61" xfId="951" xr:uid="{D6581A92-C433-4F8A-A373-2603D6E51B7B}"/>
    <cellStyle name="Comma 61 2" xfId="952" xr:uid="{A1C158D9-0057-4828-99D9-72242C3415ED}"/>
    <cellStyle name="Comma 61 2 2" xfId="953" xr:uid="{57F3AD0A-AD3D-4E08-AED0-3F2A298685CD}"/>
    <cellStyle name="Comma 61 2 2 2" xfId="954" xr:uid="{8B6C35B1-D3E0-43F1-A981-0419192AF1A0}"/>
    <cellStyle name="Comma 61 2 3" xfId="955" xr:uid="{7D0CC7F1-E3F1-45D4-9C0F-A2AE0FB66EFE}"/>
    <cellStyle name="Comma 61 2 4" xfId="956" xr:uid="{E5D0D28A-2344-4050-B079-7D40D0DE78C5}"/>
    <cellStyle name="Comma 61 2 5" xfId="957" xr:uid="{C9B7BA47-209D-4BDC-9223-9DF0231E453A}"/>
    <cellStyle name="Comma 61 3" xfId="958" xr:uid="{C3C7986D-4629-4968-8156-EDFEE6594D32}"/>
    <cellStyle name="Comma 61 4" xfId="959" xr:uid="{AF8AC6DF-10A0-4609-ABDA-7FCDC4E04884}"/>
    <cellStyle name="Comma 61 5" xfId="960" xr:uid="{6A3EBC57-AD93-4CCB-B97E-D9F7ACA37941}"/>
    <cellStyle name="Comma 61 6" xfId="961" xr:uid="{EEC53594-8FE2-4D9A-A02A-9183D58689DC}"/>
    <cellStyle name="Comma 62" xfId="962" xr:uid="{E4F7F453-D31A-4360-9D5B-FA835E4447FE}"/>
    <cellStyle name="Comma 62 2" xfId="963" xr:uid="{8B189F75-6B8E-40DC-96A2-7EFEAED0A6CA}"/>
    <cellStyle name="Comma 62 2 2" xfId="964" xr:uid="{1B09F974-B6C5-4829-86B1-2F178EBD7B7B}"/>
    <cellStyle name="Comma 62 2 2 2" xfId="965" xr:uid="{2DDAE9B1-C3B3-4899-9F3D-54D34AB4203F}"/>
    <cellStyle name="Comma 62 2 3" xfId="966" xr:uid="{AAC160F5-F2E2-43EE-90FC-721AA2D20E09}"/>
    <cellStyle name="Comma 62 2 4" xfId="967" xr:uid="{E9DCD72C-1B97-4245-AFAA-09DA0ACDA02F}"/>
    <cellStyle name="Comma 62 2 5" xfId="968" xr:uid="{F60048A1-D154-48F8-A043-759D9FFB157A}"/>
    <cellStyle name="Comma 62 3" xfId="969" xr:uid="{3F6A9EBC-4572-4416-85FA-FEB806E948F9}"/>
    <cellStyle name="Comma 62 4" xfId="970" xr:uid="{A63439FA-9508-4F0C-83D6-4C6422843CBF}"/>
    <cellStyle name="Comma 62 5" xfId="971" xr:uid="{455E07DF-53F4-4415-9513-7284229B22F6}"/>
    <cellStyle name="Comma 62 6" xfId="972" xr:uid="{AC0A0F1E-50E5-43C5-939C-708293BE6820}"/>
    <cellStyle name="Comma 63" xfId="973" xr:uid="{91014445-FA84-4CF5-9E43-DAD69E7C743F}"/>
    <cellStyle name="Comma 63 2" xfId="974" xr:uid="{C4A126AB-E55C-4737-95DF-316147F71CE5}"/>
    <cellStyle name="Comma 63 2 2" xfId="975" xr:uid="{213352F0-D69A-4D56-88DF-DD365E7F2EC5}"/>
    <cellStyle name="Comma 63 2 2 2" xfId="976" xr:uid="{ABDED16A-D902-4A1D-AD32-647A07999217}"/>
    <cellStyle name="Comma 63 2 3" xfId="977" xr:uid="{2B56E459-2D51-4336-94A5-B80AD9403E77}"/>
    <cellStyle name="Comma 63 2 4" xfId="978" xr:uid="{7B170FAC-7B9B-4ADB-AFEB-DC1881BD05AE}"/>
    <cellStyle name="Comma 63 2 5" xfId="979" xr:uid="{ED5F7131-D0BC-4376-BF7A-F956E2EE8A6E}"/>
    <cellStyle name="Comma 63 3" xfId="980" xr:uid="{07F46CD8-405C-4B86-A7F8-A603CA828C23}"/>
    <cellStyle name="Comma 63 4" xfId="981" xr:uid="{AB713B51-98CA-4886-A282-463C155BADA3}"/>
    <cellStyle name="Comma 63 5" xfId="982" xr:uid="{95EB1295-634D-47DD-9809-A711828774F1}"/>
    <cellStyle name="Comma 63 6" xfId="983" xr:uid="{8E748183-7912-4CD1-87AE-8874A63A221B}"/>
    <cellStyle name="Comma 64" xfId="984" xr:uid="{69E0D4E5-FF44-42DB-A7BF-CDDDB0D2C764}"/>
    <cellStyle name="Comma 64 2" xfId="985" xr:uid="{D2DDA7D0-0A9D-474C-9CCF-1C814CF2197C}"/>
    <cellStyle name="Comma 64 2 2" xfId="986" xr:uid="{92895C65-5FFB-4E61-914F-F50AC6707318}"/>
    <cellStyle name="Comma 64 2 2 2" xfId="987" xr:uid="{44960B7B-B422-439F-AC16-016C58CD1477}"/>
    <cellStyle name="Comma 64 2 3" xfId="988" xr:uid="{B6C2384A-ABEF-4EDE-9614-2C540681116A}"/>
    <cellStyle name="Comma 64 2 4" xfId="989" xr:uid="{78610B84-7626-40FC-9A25-626C5FDBF76C}"/>
    <cellStyle name="Comma 64 2 5" xfId="990" xr:uid="{8918CA3C-A53E-437F-A951-A57879C953C8}"/>
    <cellStyle name="Comma 64 3" xfId="991" xr:uid="{4AEB24CE-24CF-4B44-B57E-F6D4ED7981F3}"/>
    <cellStyle name="Comma 64 4" xfId="992" xr:uid="{03061B7A-B8A4-456D-9D26-4E94A371805E}"/>
    <cellStyle name="Comma 64 5" xfId="993" xr:uid="{BCD68D4E-30E2-4888-AD74-081E6AF46C8F}"/>
    <cellStyle name="Comma 64 6" xfId="994" xr:uid="{D80F8B9D-420C-4056-A16F-609C0CF71E57}"/>
    <cellStyle name="Comma 65" xfId="995" xr:uid="{9A757833-B086-496E-89D2-7C125F628581}"/>
    <cellStyle name="Comma 65 2" xfId="996" xr:uid="{21468802-323A-45F4-8229-90807FFC53E1}"/>
    <cellStyle name="Comma 65 2 2" xfId="997" xr:uid="{9C500E3D-E4D7-4933-9FEF-4617E7B8EB1F}"/>
    <cellStyle name="Comma 65 2 2 2" xfId="998" xr:uid="{07BCDF97-BC87-4F26-8B85-D5E0F245DD5C}"/>
    <cellStyle name="Comma 65 2 3" xfId="999" xr:uid="{94CBD44D-ACCA-4F90-A95C-E246174A7C09}"/>
    <cellStyle name="Comma 65 2 4" xfId="1000" xr:uid="{62AB1625-8A3F-45F7-BC90-13D38727EAD2}"/>
    <cellStyle name="Comma 65 2 5" xfId="1001" xr:uid="{6534CD48-5F07-42B0-9EE4-6ADEEB1E9B24}"/>
    <cellStyle name="Comma 65 3" xfId="1002" xr:uid="{4ED52ECB-1073-41A4-B977-8A45FDB25801}"/>
    <cellStyle name="Comma 65 4" xfId="1003" xr:uid="{36C7EDE0-E74A-40CE-A994-3546E205908E}"/>
    <cellStyle name="Comma 65 5" xfId="1004" xr:uid="{502DE978-44DA-45FA-9A97-F7F6E44E43A7}"/>
    <cellStyle name="Comma 65 6" xfId="1005" xr:uid="{6C59011D-8A8E-480B-91B2-A03160BA225E}"/>
    <cellStyle name="Comma 66" xfId="1006" xr:uid="{B4C59EDA-784A-4B8D-A021-72B91EF9D08B}"/>
    <cellStyle name="Comma 66 2" xfId="1007" xr:uid="{F8A758E1-0EB2-4D3C-BF81-01802CF77533}"/>
    <cellStyle name="Comma 66 2 2" xfId="1008" xr:uid="{08D47E9E-11A6-4BC8-8EE3-6C10911F31A7}"/>
    <cellStyle name="Comma 66 2 2 2" xfId="1009" xr:uid="{5F6BA91A-27E2-47D8-A668-12195E714C8F}"/>
    <cellStyle name="Comma 66 2 3" xfId="1010" xr:uid="{1CEDA23B-E89A-434B-A092-E11F44AAC16C}"/>
    <cellStyle name="Comma 66 2 4" xfId="1011" xr:uid="{9323F62A-0F7D-45F9-87AC-52B5BC990245}"/>
    <cellStyle name="Comma 66 2 5" xfId="1012" xr:uid="{06485D03-FA20-41D3-B0F1-4540DCB9E5CC}"/>
    <cellStyle name="Comma 66 3" xfId="1013" xr:uid="{CF8A987B-709A-4138-9378-4008572EE7E1}"/>
    <cellStyle name="Comma 66 4" xfId="1014" xr:uid="{331FAB97-D875-4070-9F95-E634DA26FA16}"/>
    <cellStyle name="Comma 66 5" xfId="1015" xr:uid="{B54F7D35-399F-42FB-A2CF-F5A97A5EBB13}"/>
    <cellStyle name="Comma 66 6" xfId="1016" xr:uid="{9698828F-8067-4777-8F66-1AA7926A4E83}"/>
    <cellStyle name="Comma 67" xfId="1017" xr:uid="{69179AAC-EC5F-4174-A67C-24CA29EF512A}"/>
    <cellStyle name="Comma 67 2" xfId="1018" xr:uid="{095AB33B-7B03-4FC1-9EAC-B96C4110151F}"/>
    <cellStyle name="Comma 67 2 2" xfId="1019" xr:uid="{BFC0EA4E-2188-429B-B7FE-659065DB6A6A}"/>
    <cellStyle name="Comma 67 2 2 2" xfId="1020" xr:uid="{03D5955F-29D0-42B5-A396-54900B6C4A0D}"/>
    <cellStyle name="Comma 67 2 3" xfId="1021" xr:uid="{EA9232EB-FB1B-4D93-B179-C3640000C729}"/>
    <cellStyle name="Comma 67 2 4" xfId="1022" xr:uid="{918491B6-429D-4D30-8D69-CDB961392514}"/>
    <cellStyle name="Comma 67 2 5" xfId="1023" xr:uid="{B46F99C1-3280-4DC2-8276-78036A754BFF}"/>
    <cellStyle name="Comma 67 3" xfId="1024" xr:uid="{0C6746F9-CE95-44BA-95E1-86D0EA1AB681}"/>
    <cellStyle name="Comma 67 4" xfId="1025" xr:uid="{0029CB49-7A6E-4DB4-8F70-DF4C4E570C4D}"/>
    <cellStyle name="Comma 67 5" xfId="1026" xr:uid="{5499D5F6-B382-427C-ADD3-3B40ECC832AA}"/>
    <cellStyle name="Comma 67 6" xfId="1027" xr:uid="{1470C02D-4F9D-4155-857E-47ACC40A1DF9}"/>
    <cellStyle name="Comma 68" xfId="1028" xr:uid="{F922706D-723B-4030-BDEC-EC5D2CB1E543}"/>
    <cellStyle name="Comma 68 2" xfId="1029" xr:uid="{FD8EAB5D-987F-43C4-B236-47F2078DDAD5}"/>
    <cellStyle name="Comma 68 2 2" xfId="1030" xr:uid="{83A25748-7309-4B1A-8FED-FCC511BF0C44}"/>
    <cellStyle name="Comma 68 2 2 2" xfId="1031" xr:uid="{AFB20994-5A2D-41D5-8C4C-4D2F3B401308}"/>
    <cellStyle name="Comma 68 2 3" xfId="1032" xr:uid="{FCD1DC2B-D21C-4D2F-8724-81A8EA57A34E}"/>
    <cellStyle name="Comma 68 2 4" xfId="1033" xr:uid="{1FF9BE14-97CD-4FF5-8D43-117FF7479239}"/>
    <cellStyle name="Comma 68 2 5" xfId="1034" xr:uid="{3BC0E0AA-88A3-42DA-BE0E-B7286938787F}"/>
    <cellStyle name="Comma 68 3" xfId="1035" xr:uid="{042B85A0-5931-4779-A6B2-1A7F86D09D83}"/>
    <cellStyle name="Comma 68 4" xfId="1036" xr:uid="{2D296AA9-1521-4080-BB3C-70E614F3E12E}"/>
    <cellStyle name="Comma 68 5" xfId="1037" xr:uid="{9930E8D1-FBF9-4D86-B7ED-B9E783D65487}"/>
    <cellStyle name="Comma 68 6" xfId="1038" xr:uid="{91B28455-5E56-4A01-AF6E-47FDD1AEE726}"/>
    <cellStyle name="Comma 69" xfId="1039" xr:uid="{1E63872A-1DD2-473B-9A7B-7F3DEC76248F}"/>
    <cellStyle name="Comma 69 2" xfId="1040" xr:uid="{4FF54832-6350-4175-9C41-40EE7E0705A9}"/>
    <cellStyle name="Comma 69 2 2" xfId="1041" xr:uid="{B12FAF6B-7366-4646-B758-E644AF8B0F84}"/>
    <cellStyle name="Comma 69 2 2 2" xfId="1042" xr:uid="{D87DC918-261A-4A68-9F24-42D0214108D3}"/>
    <cellStyle name="Comma 69 2 3" xfId="1043" xr:uid="{96788DB0-FCE8-4639-BF02-7BCE1EC2CD98}"/>
    <cellStyle name="Comma 69 2 4" xfId="1044" xr:uid="{4945B14F-45CF-461D-9C47-22215B717127}"/>
    <cellStyle name="Comma 69 2 5" xfId="1045" xr:uid="{95276445-944B-4664-9324-A28292ABB1EE}"/>
    <cellStyle name="Comma 69 3" xfId="1046" xr:uid="{F8AB59D5-7649-409D-BD9B-485938DE4AAA}"/>
    <cellStyle name="Comma 69 4" xfId="1047" xr:uid="{170648D9-DD11-4216-A3C0-ABD8144F339F}"/>
    <cellStyle name="Comma 69 5" xfId="1048" xr:uid="{0DBAE71A-C32E-4FB4-918F-39A63833A60E}"/>
    <cellStyle name="Comma 69 6" xfId="1049" xr:uid="{E8A366D2-1BF1-4B63-8B4C-620AF8EBBC13}"/>
    <cellStyle name="Comma 7" xfId="1050" xr:uid="{867CA907-AEC8-4CF1-9781-DF7BE22C2EEB}"/>
    <cellStyle name="Comma 7 2" xfId="1051" xr:uid="{CD7ED8B5-17C0-4BCE-BADF-07D6AB357460}"/>
    <cellStyle name="Comma 7 2 2" xfId="1052" xr:uid="{5326666A-394D-4A5D-9D1A-0AC495E9BAD6}"/>
    <cellStyle name="Comma 7 2 2 2" xfId="1053" xr:uid="{20FC5D7C-0501-45D5-82B8-B900344EBEC9}"/>
    <cellStyle name="Comma 7 2 3" xfId="1054" xr:uid="{4C0930EB-5E9C-49F9-801C-EFC4A3AC88AB}"/>
    <cellStyle name="Comma 7 2 4" xfId="1055" xr:uid="{1FC6DF21-5A6D-4B18-94DE-E20D53538C5B}"/>
    <cellStyle name="Comma 7 2 5" xfId="1056" xr:uid="{E8663C28-C3E7-47AF-82DF-D09F578F48FF}"/>
    <cellStyle name="Comma 7 3" xfId="1057" xr:uid="{EEA87F37-5913-4ECF-803F-662D90994502}"/>
    <cellStyle name="Comma 7 3 2" xfId="1058" xr:uid="{EEDCD4A5-9E40-486B-BB87-A8DAECBF2FB4}"/>
    <cellStyle name="Comma 7 4" xfId="1059" xr:uid="{42D2295D-AC84-40DB-8304-3D46B50A5045}"/>
    <cellStyle name="Comma 7 5" xfId="1060" xr:uid="{9EEA76E0-25C4-4384-B0E2-12B7506DD7F0}"/>
    <cellStyle name="Comma 7 6" xfId="1061" xr:uid="{25B8FBFE-6A4D-42A5-B52A-96FE8F3CEF63}"/>
    <cellStyle name="Comma 70" xfId="1062" xr:uid="{AFAAFE00-C26F-4DF8-88A9-C7E13FA71A2E}"/>
    <cellStyle name="Comma 70 2" xfId="1063" xr:uid="{04425429-7353-4FF4-95FB-B427328ABDC7}"/>
    <cellStyle name="Comma 70 2 2" xfId="1064" xr:uid="{3D23FEA3-4737-4901-8857-E58DA77F6B88}"/>
    <cellStyle name="Comma 70 2 2 2" xfId="1065" xr:uid="{54359E17-E9FE-4D6B-93B1-6AC07563A0F1}"/>
    <cellStyle name="Comma 70 2 3" xfId="1066" xr:uid="{F4BC1759-8317-4104-AB2C-9DFECC9BB8AD}"/>
    <cellStyle name="Comma 70 2 4" xfId="1067" xr:uid="{2FB1ABB5-DD2E-404E-8ED8-970245A45035}"/>
    <cellStyle name="Comma 70 2 5" xfId="1068" xr:uid="{48800BBA-8B56-44E8-B139-B04DD2F0DE08}"/>
    <cellStyle name="Comma 70 3" xfId="1069" xr:uid="{B1F722CA-EBB6-4A7F-A264-815FB6BCFF43}"/>
    <cellStyle name="Comma 70 4" xfId="1070" xr:uid="{B8138EAD-6D17-44AA-A71C-44EE0CCF9F18}"/>
    <cellStyle name="Comma 70 5" xfId="1071" xr:uid="{8E5AA5AD-1554-496F-B423-83E3F55D483F}"/>
    <cellStyle name="Comma 70 6" xfId="1072" xr:uid="{E98C7350-F9D8-48F1-9065-CE737A6C928B}"/>
    <cellStyle name="Comma 71" xfId="1073" xr:uid="{1E283475-2B3A-4941-BE36-F6E409219BD4}"/>
    <cellStyle name="Comma 71 2" xfId="1074" xr:uid="{10626974-3AFE-4F79-9A83-DF4E1DB936E6}"/>
    <cellStyle name="Comma 71 2 2" xfId="1075" xr:uid="{A557BE4A-88C9-44DD-8242-D2969192EAEB}"/>
    <cellStyle name="Comma 71 2 2 2" xfId="1076" xr:uid="{67F6C3F3-F19F-430B-A88D-124B2288BF15}"/>
    <cellStyle name="Comma 71 2 3" xfId="1077" xr:uid="{A5262228-20EE-43DA-A30D-9E003BCE838B}"/>
    <cellStyle name="Comma 71 2 4" xfId="1078" xr:uid="{8E0B64FC-7F67-421D-B881-ADB7CAD9B819}"/>
    <cellStyle name="Comma 71 2 5" xfId="1079" xr:uid="{6B23960B-9787-488F-A5B8-5B1300E862B7}"/>
    <cellStyle name="Comma 71 3" xfId="1080" xr:uid="{E297B796-2F52-4204-A124-0AEE9B8D4CEC}"/>
    <cellStyle name="Comma 71 4" xfId="1081" xr:uid="{17DFB619-0B49-4F5E-BC08-F97F35FB8526}"/>
    <cellStyle name="Comma 71 5" xfId="1082" xr:uid="{6D2FEF27-C219-4D73-9CC3-24BC114ECDC9}"/>
    <cellStyle name="Comma 71 6" xfId="1083" xr:uid="{49B8D097-0DEF-4E56-A3D7-E411C13B17F0}"/>
    <cellStyle name="Comma 72" xfId="1084" xr:uid="{F6A06AD1-A3B0-4C8A-8072-E6C170578FDF}"/>
    <cellStyle name="Comma 72 2" xfId="1085" xr:uid="{63AA1578-23AC-45AC-A4C0-E87CF9BD3BCE}"/>
    <cellStyle name="Comma 72 2 2" xfId="1086" xr:uid="{D620BDF1-7349-42FB-A2DF-0532A7184991}"/>
    <cellStyle name="Comma 72 2 2 2" xfId="1087" xr:uid="{4A2579C5-ECA0-4FB0-977B-3813B2D2A352}"/>
    <cellStyle name="Comma 72 2 3" xfId="1088" xr:uid="{D8FCFDB3-3252-438C-A6E4-63B79D21B136}"/>
    <cellStyle name="Comma 72 2 4" xfId="1089" xr:uid="{4E5423E2-8762-48B7-BEF0-B6DF2F8CB3A3}"/>
    <cellStyle name="Comma 72 2 5" xfId="1090" xr:uid="{3EE80DFC-3093-4ABC-8C5B-11452C59A84F}"/>
    <cellStyle name="Comma 72 3" xfId="1091" xr:uid="{87DFBD70-A121-4913-95B1-76A390552B87}"/>
    <cellStyle name="Comma 72 4" xfId="1092" xr:uid="{ED4969E2-1972-4D3B-BE95-D29FAF06FEBA}"/>
    <cellStyle name="Comma 72 5" xfId="1093" xr:uid="{C9E80352-F122-4983-810C-4B50FD9FC0AF}"/>
    <cellStyle name="Comma 72 6" xfId="1094" xr:uid="{3CE0DAAB-ED4B-4F83-BCBD-1B807CC63FE2}"/>
    <cellStyle name="Comma 73" xfId="1095" xr:uid="{BB9CE122-230A-4CCE-AD5D-B9760A50ABA0}"/>
    <cellStyle name="Comma 73 2" xfId="1096" xr:uid="{F95A8A65-1F0D-4D95-A591-42D8D80A3B1A}"/>
    <cellStyle name="Comma 73 2 2" xfId="1097" xr:uid="{4143005F-29BD-4669-9F5E-47F50569F5AE}"/>
    <cellStyle name="Comma 73 2 2 2" xfId="1098" xr:uid="{FB7812AC-BB97-4B0E-BD7C-183BEB515D59}"/>
    <cellStyle name="Comma 73 2 3" xfId="1099" xr:uid="{EDBECE62-FC31-4E18-9C1D-12089391B44A}"/>
    <cellStyle name="Comma 73 2 4" xfId="1100" xr:uid="{7EEC9F4B-E623-49FA-B227-603858098506}"/>
    <cellStyle name="Comma 73 2 5" xfId="1101" xr:uid="{4C915DBE-101C-4F69-8EB4-698C8115C6D9}"/>
    <cellStyle name="Comma 73 3" xfId="1102" xr:uid="{E7E8498B-0043-4B28-AAAA-8F02B7DCACC3}"/>
    <cellStyle name="Comma 73 4" xfId="1103" xr:uid="{32761860-0C52-494D-9E5D-33EE62CDA48A}"/>
    <cellStyle name="Comma 73 5" xfId="1104" xr:uid="{29B7E13A-44D5-4940-B4D9-2E6A0B8DF1D3}"/>
    <cellStyle name="Comma 73 6" xfId="1105" xr:uid="{0B0E224E-3694-4A16-8BFC-CD047793AD4E}"/>
    <cellStyle name="Comma 74" xfId="1106" xr:uid="{766DB8BC-6B14-4ADA-A398-38EE42416C11}"/>
    <cellStyle name="Comma 74 2" xfId="1107" xr:uid="{763AF978-7A83-4441-9946-6A07FFEBFA2C}"/>
    <cellStyle name="Comma 74 2 2" xfId="1108" xr:uid="{735D7D3C-5E99-4470-BF93-8FC031AF140A}"/>
    <cellStyle name="Comma 74 2 2 2" xfId="1109" xr:uid="{6D7AEA0A-103E-46D9-B88E-39C9AA421A1B}"/>
    <cellStyle name="Comma 74 2 3" xfId="1110" xr:uid="{B751DCA7-2BAF-4B4C-9268-0AAD22027AB5}"/>
    <cellStyle name="Comma 74 2 4" xfId="1111" xr:uid="{923D707F-59BC-436E-AD85-E7907F9D1099}"/>
    <cellStyle name="Comma 74 2 5" xfId="1112" xr:uid="{B4792E10-86FD-4F25-AD13-78A3E0EC2923}"/>
    <cellStyle name="Comma 74 3" xfId="1113" xr:uid="{DB565492-71B7-40CA-9420-D44F6B63508F}"/>
    <cellStyle name="Comma 74 4" xfId="1114" xr:uid="{96AE4343-A2F8-48C1-A95F-626E3509E928}"/>
    <cellStyle name="Comma 74 5" xfId="1115" xr:uid="{644D1CB8-46C1-42CB-919B-3368C855CFD1}"/>
    <cellStyle name="Comma 74 6" xfId="1116" xr:uid="{33AA7DEB-0331-4ED2-B281-DB8F43E7D4FA}"/>
    <cellStyle name="Comma 75" xfId="1117" xr:uid="{B105E059-F6C3-4783-A956-4D0C396B802C}"/>
    <cellStyle name="Comma 75 2" xfId="1118" xr:uid="{F3683011-A300-4777-8F02-5C9D264F7928}"/>
    <cellStyle name="Comma 75 2 2" xfId="1119" xr:uid="{5649956B-40B3-48C7-A980-06E7FF7650DE}"/>
    <cellStyle name="Comma 75 2 2 2" xfId="1120" xr:uid="{F36725F9-5C27-416C-BD04-29FCDE5C1858}"/>
    <cellStyle name="Comma 75 2 3" xfId="1121" xr:uid="{F190CFA7-4FE0-43FE-823E-75D73E385190}"/>
    <cellStyle name="Comma 75 2 4" xfId="1122" xr:uid="{F895F7FC-256A-4FE4-B18D-DA44DAE1D8F3}"/>
    <cellStyle name="Comma 75 2 5" xfId="1123" xr:uid="{532D0C49-8B8D-4000-ACD9-9233A0DE9860}"/>
    <cellStyle name="Comma 75 3" xfId="1124" xr:uid="{CB5B37FD-FA08-4B9A-B2D7-285BCE977227}"/>
    <cellStyle name="Comma 75 4" xfId="1125" xr:uid="{F274AD8D-97E3-4235-95B9-74BB8C884E9A}"/>
    <cellStyle name="Comma 75 5" xfId="1126" xr:uid="{38375DBD-624C-4FB3-AEC4-F8E3D65ABB58}"/>
    <cellStyle name="Comma 75 6" xfId="1127" xr:uid="{7BEDB2BB-9D58-41FF-9E69-C34FEE541688}"/>
    <cellStyle name="Comma 76" xfId="1128" xr:uid="{2497BE6D-5F0C-429B-8681-7C6F9B473DC8}"/>
    <cellStyle name="Comma 76 2" xfId="1129" xr:uid="{1AEA8803-3858-4722-ABBB-4DE7D0D6DEBC}"/>
    <cellStyle name="Comma 76 2 2" xfId="1130" xr:uid="{BEADF0DB-EF3F-4FC6-87AE-33E0DB112DF4}"/>
    <cellStyle name="Comma 76 2 2 2" xfId="1131" xr:uid="{7E6102E3-0D5E-4498-8797-01B6C14EFC10}"/>
    <cellStyle name="Comma 76 2 3" xfId="1132" xr:uid="{CDA4A3A9-B106-46DF-A489-226CC5313833}"/>
    <cellStyle name="Comma 76 2 4" xfId="1133" xr:uid="{1B9C15E2-4D6C-47BB-9252-8B9039569AF8}"/>
    <cellStyle name="Comma 76 2 5" xfId="1134" xr:uid="{BD7F632B-B6F4-4CDB-8562-8F9F80AEBEA7}"/>
    <cellStyle name="Comma 76 3" xfId="1135" xr:uid="{1340A761-47D8-42D5-A9A3-632042EDF812}"/>
    <cellStyle name="Comma 76 4" xfId="1136" xr:uid="{11D6CEAA-10E2-4562-B013-C39F740B15DE}"/>
    <cellStyle name="Comma 76 5" xfId="1137" xr:uid="{2625FB82-62A2-4D26-8335-BF27D5A0B3CF}"/>
    <cellStyle name="Comma 76 6" xfId="1138" xr:uid="{83DD90C0-4F7C-49B9-A874-7068E46EF166}"/>
    <cellStyle name="Comma 77" xfId="1139" xr:uid="{ED3DEA10-E52C-4DE0-A69D-1E8D7D561688}"/>
    <cellStyle name="Comma 77 2" xfId="1140" xr:uid="{B7AF6703-D03A-483D-ABC5-B0CE17B7C690}"/>
    <cellStyle name="Comma 77 2 2" xfId="1141" xr:uid="{A25CD1CF-CAC4-4465-9772-278B3FFE82F2}"/>
    <cellStyle name="Comma 77 2 2 2" xfId="1142" xr:uid="{544F5A70-12FD-46A7-8F15-FA0D79BF028C}"/>
    <cellStyle name="Comma 77 2 3" xfId="1143" xr:uid="{3AFAE62E-0A00-43F1-8DC4-C66577D5EB34}"/>
    <cellStyle name="Comma 77 2 4" xfId="1144" xr:uid="{FC1D3A0C-10EC-4B8E-AAA9-F5B22305259A}"/>
    <cellStyle name="Comma 77 2 5" xfId="1145" xr:uid="{6232D1AA-C7A3-40AE-B1AD-1FD244B627D7}"/>
    <cellStyle name="Comma 77 3" xfId="1146" xr:uid="{6E249936-9ECD-4C7F-AB1B-87E531ABD532}"/>
    <cellStyle name="Comma 77 4" xfId="1147" xr:uid="{901FF28C-38FC-4BCA-8AB4-2DF504D34EFD}"/>
    <cellStyle name="Comma 77 5" xfId="1148" xr:uid="{62018A22-5323-4871-9ACE-8399AF1DDA20}"/>
    <cellStyle name="Comma 77 6" xfId="1149" xr:uid="{5D62182B-DE88-43CC-AEBD-CFE97E786894}"/>
    <cellStyle name="Comma 78" xfId="1150" xr:uid="{9EA56FF7-15B4-499E-9F7B-4EB25BD8B06A}"/>
    <cellStyle name="Comma 78 2" xfId="1151" xr:uid="{4F0AECC2-F4FC-4847-986F-849C1BA0D890}"/>
    <cellStyle name="Comma 78 2 2" xfId="1152" xr:uid="{84D60897-5F93-4080-9021-2611328B82CB}"/>
    <cellStyle name="Comma 78 2 2 2" xfId="1153" xr:uid="{57A7CED8-F9A6-4089-B33F-89DF109BBED8}"/>
    <cellStyle name="Comma 78 2 3" xfId="1154" xr:uid="{AF8AF027-C7B3-4ED5-A595-CDDEF3348C7A}"/>
    <cellStyle name="Comma 78 2 4" xfId="1155" xr:uid="{C719C465-7D4A-4F80-B42B-7EC9FFECA811}"/>
    <cellStyle name="Comma 78 2 5" xfId="1156" xr:uid="{9F7075FB-8E09-421B-A39F-0BE7F6962305}"/>
    <cellStyle name="Comma 78 3" xfId="1157" xr:uid="{B6309B02-3DD7-4868-BD2E-582B35213D84}"/>
    <cellStyle name="Comma 78 4" xfId="1158" xr:uid="{31EAB4A9-1118-4F26-B5C1-93666597923C}"/>
    <cellStyle name="Comma 78 5" xfId="1159" xr:uid="{0D1E9BE1-8868-4DAB-A401-D52794F00536}"/>
    <cellStyle name="Comma 78 6" xfId="1160" xr:uid="{F7CE82BB-776D-481E-85E3-8A84FD218247}"/>
    <cellStyle name="Comma 79" xfId="1161" xr:uid="{443C7840-E0E8-4B27-B297-1F9D1FC4F294}"/>
    <cellStyle name="Comma 79 2" xfId="1162" xr:uid="{D42FE13C-933F-4D3E-A108-82B4DF51472D}"/>
    <cellStyle name="Comma 79 2 2" xfId="1163" xr:uid="{DCF256A9-CCDB-4414-A451-AD855D67AAE9}"/>
    <cellStyle name="Comma 79 2 2 2" xfId="1164" xr:uid="{E238A9B7-3D27-4893-9F4A-2BBF47B9824C}"/>
    <cellStyle name="Comma 79 2 3" xfId="1165" xr:uid="{FCCEE7B2-AAE2-493A-B377-7CACC9D487FF}"/>
    <cellStyle name="Comma 79 2 4" xfId="1166" xr:uid="{515CA2C7-A892-4359-8C47-CB9EA7ACE65E}"/>
    <cellStyle name="Comma 79 2 5" xfId="1167" xr:uid="{7E0D827E-321B-454D-A6C2-9D57F224455D}"/>
    <cellStyle name="Comma 79 3" xfId="1168" xr:uid="{1048C249-61DF-4721-9ED0-2077DA4DA09A}"/>
    <cellStyle name="Comma 79 4" xfId="1169" xr:uid="{88DB15DA-1040-4C7E-90DD-249679417322}"/>
    <cellStyle name="Comma 79 5" xfId="1170" xr:uid="{3B37A144-A91B-455A-83F0-F709FCA767CF}"/>
    <cellStyle name="Comma 79 6" xfId="1171" xr:uid="{03564552-81F3-4307-91E9-7F9F4B532C4F}"/>
    <cellStyle name="Comma 8" xfId="1172" xr:uid="{0388498F-0CDF-474F-A98B-D728CAAC519A}"/>
    <cellStyle name="Comma 8 2" xfId="1173" xr:uid="{38538C75-DB4C-4F11-BDD1-B9620905F742}"/>
    <cellStyle name="Comma 8 2 2" xfId="1174" xr:uid="{4CD073A8-87ED-4650-BC69-1FB41C241553}"/>
    <cellStyle name="Comma 8 2 2 2" xfId="1175" xr:uid="{939B07B3-E990-4AC2-966B-5A4D57546E07}"/>
    <cellStyle name="Comma 8 2 3" xfId="1176" xr:uid="{7F18476F-9293-4ED0-8095-F9C9E04126CC}"/>
    <cellStyle name="Comma 8 2 4" xfId="1177" xr:uid="{C2B811F4-71E0-4816-89B0-5D6B87CF31E4}"/>
    <cellStyle name="Comma 8 2 5" xfId="1178" xr:uid="{6CD985C7-1BFF-4818-9269-109CB7B84DFF}"/>
    <cellStyle name="Comma 8 3" xfId="1179" xr:uid="{F2547F76-1A98-4D53-853C-2BBC86834EAB}"/>
    <cellStyle name="Comma 8 3 2" xfId="1180" xr:uid="{14DBFE84-F94A-4A2B-91E0-FB542DD329BB}"/>
    <cellStyle name="Comma 8 4" xfId="1181" xr:uid="{13099453-3527-4943-AB1E-DC3498D7DE9A}"/>
    <cellStyle name="Comma 8 5" xfId="1182" xr:uid="{BEC063C2-D573-4E15-9D59-6B82B6CFDFB7}"/>
    <cellStyle name="Comma 8 6" xfId="1183" xr:uid="{D0CA49F3-7D37-4218-92D8-2A023B04888B}"/>
    <cellStyle name="Comma 80" xfId="1184" xr:uid="{F4E4FF63-1C6F-4BF7-8DEF-45615CDC7E8C}"/>
    <cellStyle name="Comma 80 2" xfId="1185" xr:uid="{13D1ADAD-430E-457C-A755-FBDDBBEDF6D9}"/>
    <cellStyle name="Comma 80 2 2" xfId="1186" xr:uid="{9A68E41B-D3E3-45DD-AB67-EC597EF53C8E}"/>
    <cellStyle name="Comma 80 2 2 2" xfId="1187" xr:uid="{E42B59F4-B8F3-4B45-8B8A-BCAFF625C623}"/>
    <cellStyle name="Comma 80 2 3" xfId="1188" xr:uid="{CEE54FCE-5A2A-43D1-8EC0-1B8044BDDEEE}"/>
    <cellStyle name="Comma 80 2 4" xfId="1189" xr:uid="{208DF735-9690-458B-BEDD-6E2EF6BEC57E}"/>
    <cellStyle name="Comma 80 2 5" xfId="1190" xr:uid="{C1F6D1C8-05E5-4679-AFC5-C4957C88BD75}"/>
    <cellStyle name="Comma 80 3" xfId="1191" xr:uid="{00C093F9-4C23-4398-9B01-F4F700867440}"/>
    <cellStyle name="Comma 80 4" xfId="1192" xr:uid="{BA121B78-0E73-41B3-A570-FE9C56DF832E}"/>
    <cellStyle name="Comma 80 5" xfId="1193" xr:uid="{BE12D2CF-4AA3-48A9-8D50-965D5E1FB803}"/>
    <cellStyle name="Comma 80 6" xfId="1194" xr:uid="{736D025A-6BC6-490A-84CE-D8E5160DE93F}"/>
    <cellStyle name="Comma 81" xfId="1195" xr:uid="{59E25542-750E-4E30-8829-76F9C9E4149E}"/>
    <cellStyle name="Comma 81 2" xfId="1196" xr:uid="{696C7DFA-8414-4E42-8C85-6E7CB7F6D204}"/>
    <cellStyle name="Comma 81 2 2" xfId="1197" xr:uid="{5C702B8B-615E-437D-A530-0D1835880903}"/>
    <cellStyle name="Comma 81 2 2 2" xfId="1198" xr:uid="{AC3A48B7-92C7-4621-A08B-D5C30C2DDC0A}"/>
    <cellStyle name="Comma 81 2 3" xfId="1199" xr:uid="{F7E6545D-ADC9-468C-A402-1245EA31AF36}"/>
    <cellStyle name="Comma 81 2 4" xfId="1200" xr:uid="{486FE216-B73E-4F82-AB93-7427FD25A7DA}"/>
    <cellStyle name="Comma 81 2 5" xfId="1201" xr:uid="{363BCFAD-7E8D-4C82-BBE8-6C788C4286C8}"/>
    <cellStyle name="Comma 81 3" xfId="1202" xr:uid="{799D6D6C-5A66-459A-AFB7-21604D71AC2A}"/>
    <cellStyle name="Comma 81 4" xfId="1203" xr:uid="{E297559E-2E79-4891-9C0F-204EF8FB5BB5}"/>
    <cellStyle name="Comma 81 5" xfId="1204" xr:uid="{53948CB4-8C5E-40ED-A680-70A3FEB2F9E1}"/>
    <cellStyle name="Comma 81 6" xfId="1205" xr:uid="{083BD826-AE9A-4E61-A31C-4960F2A22170}"/>
    <cellStyle name="Comma 82" xfId="1206" xr:uid="{F4065754-25A0-49A0-B03B-4C532747943D}"/>
    <cellStyle name="Comma 82 2" xfId="1207" xr:uid="{1F12D71C-5460-472A-9A72-2EEC3C07505E}"/>
    <cellStyle name="Comma 82 2 2" xfId="1208" xr:uid="{EBD48DB0-694F-43A1-BC47-5AA9EBADB6D4}"/>
    <cellStyle name="Comma 82 2 2 2" xfId="1209" xr:uid="{49285E65-6857-46E4-A573-0A6F29FBCC6F}"/>
    <cellStyle name="Comma 82 2 3" xfId="1210" xr:uid="{DC57B454-F964-40D4-AFBE-BB24811FFF01}"/>
    <cellStyle name="Comma 82 2 4" xfId="1211" xr:uid="{9828BA06-8D40-4CA0-949A-9183E745260B}"/>
    <cellStyle name="Comma 82 2 5" xfId="1212" xr:uid="{8EE29D83-B603-46A5-9159-18388B9BCCB1}"/>
    <cellStyle name="Comma 82 3" xfId="1213" xr:uid="{4421C5F4-A666-4CA3-A421-12449195F367}"/>
    <cellStyle name="Comma 82 4" xfId="1214" xr:uid="{9E2EBF09-477F-4149-A812-4CF4287AAF83}"/>
    <cellStyle name="Comma 82 5" xfId="1215" xr:uid="{61D04065-CC28-4955-969C-096D4F71EA9D}"/>
    <cellStyle name="Comma 82 6" xfId="1216" xr:uid="{79866C3C-E330-4E09-B7F9-EEE06E110B47}"/>
    <cellStyle name="Comma 83" xfId="1217" xr:uid="{6702839D-A453-4A5B-8366-51E70332BB2C}"/>
    <cellStyle name="Comma 83 2" xfId="1218" xr:uid="{116C834C-C7C7-4875-B9CE-871AA798606D}"/>
    <cellStyle name="Comma 83 2 2" xfId="1219" xr:uid="{86A3EC1B-E537-4104-B48C-3A4D89D21010}"/>
    <cellStyle name="Comma 83 2 2 2" xfId="1220" xr:uid="{38515E9D-BFA7-44C6-9236-3D5598CB1331}"/>
    <cellStyle name="Comma 83 2 3" xfId="1221" xr:uid="{853EF287-256F-4DBD-8627-E0AECEDC9D03}"/>
    <cellStyle name="Comma 83 2 4" xfId="1222" xr:uid="{D8796DE6-ECCE-46C5-B30E-12E93BECE0BC}"/>
    <cellStyle name="Comma 83 2 5" xfId="1223" xr:uid="{E22A5DBA-8304-4D99-8B61-DA6CF172FD9C}"/>
    <cellStyle name="Comma 83 3" xfId="1224" xr:uid="{590A27A5-4B5E-40C6-AF39-7634355D9B88}"/>
    <cellStyle name="Comma 83 4" xfId="1225" xr:uid="{888EC239-DA2C-4B57-BF07-91F95677EE91}"/>
    <cellStyle name="Comma 83 5" xfId="1226" xr:uid="{8D2E2C8D-1F53-4C01-9417-EF95F32EBD8F}"/>
    <cellStyle name="Comma 83 6" xfId="1227" xr:uid="{BB4FA2F1-9DEA-4D33-8615-55ECD4154DCA}"/>
    <cellStyle name="Comma 84" xfId="1228" xr:uid="{2CD6CA5B-2EF6-4B1D-AE16-6D190E670F41}"/>
    <cellStyle name="Comma 84 2" xfId="1229" xr:uid="{778CBC65-EFAB-45F6-A447-F971EBC1F7D0}"/>
    <cellStyle name="Comma 84 2 2" xfId="1230" xr:uid="{ACC7443E-D8A7-43DD-805A-289381CAC764}"/>
    <cellStyle name="Comma 84 2 2 2" xfId="1231" xr:uid="{A3160B82-8B61-4C9D-9133-E5F3E1F81880}"/>
    <cellStyle name="Comma 84 2 3" xfId="1232" xr:uid="{F2E64051-9152-421F-B334-5C3A669D46C9}"/>
    <cellStyle name="Comma 84 2 4" xfId="1233" xr:uid="{293CC37A-0C4B-4976-906D-729000A076A8}"/>
    <cellStyle name="Comma 84 2 5" xfId="1234" xr:uid="{AED27E0E-57FC-4E64-9B55-D6FAE9EC940C}"/>
    <cellStyle name="Comma 84 3" xfId="1235" xr:uid="{43C4A5D5-8FBA-4993-8B12-5F8F20FEA473}"/>
    <cellStyle name="Comma 84 4" xfId="1236" xr:uid="{40AF1BA3-77B6-469C-94DF-A0AB5CDFE26B}"/>
    <cellStyle name="Comma 84 5" xfId="1237" xr:uid="{2F3CA5FE-88D9-4400-8E1D-54DE8DC230EA}"/>
    <cellStyle name="Comma 84 6" xfId="1238" xr:uid="{E468A240-0FE4-49DD-BA2A-89476D09D8F9}"/>
    <cellStyle name="Comma 85" xfId="1239" xr:uid="{24667D03-20B5-4C5F-AFB0-63E32BAD3FDC}"/>
    <cellStyle name="Comma 85 2" xfId="1240" xr:uid="{95670188-E13B-4DFF-AFAD-D9220D91E611}"/>
    <cellStyle name="Comma 85 2 2" xfId="1241" xr:uid="{A488981F-B8B0-41DB-9781-E77DF583F45D}"/>
    <cellStyle name="Comma 85 2 2 2" xfId="1242" xr:uid="{50FBCE78-70F9-41D5-A069-65932B0241EE}"/>
    <cellStyle name="Comma 85 2 3" xfId="1243" xr:uid="{A2896235-1FB7-45E2-85A9-801ECB4B47AA}"/>
    <cellStyle name="Comma 85 2 4" xfId="1244" xr:uid="{5CCF1069-FE26-4E52-81A3-C1F263ADFBED}"/>
    <cellStyle name="Comma 85 2 5" xfId="1245" xr:uid="{09E97FDA-E64B-4DE0-9BFD-0BF4D6ED3C25}"/>
    <cellStyle name="Comma 85 3" xfId="1246" xr:uid="{19A43556-7A77-42C0-AD43-756C6358C847}"/>
    <cellStyle name="Comma 85 4" xfId="1247" xr:uid="{24EB2732-CE0F-423A-8EA7-9F45524A80EC}"/>
    <cellStyle name="Comma 85 5" xfId="1248" xr:uid="{DF0AF42E-0EF8-41C2-A5EF-DB241A28FAEF}"/>
    <cellStyle name="Comma 85 6" xfId="1249" xr:uid="{BB421615-E08E-4530-8F7D-3AA965C90288}"/>
    <cellStyle name="Comma 86" xfId="1250" xr:uid="{43335D0E-95B0-41F0-B121-20D30CB7BB00}"/>
    <cellStyle name="Comma 86 2" xfId="1251" xr:uid="{B5D010FD-2A6E-495A-B117-0952CDF41AC5}"/>
    <cellStyle name="Comma 86 2 2" xfId="1252" xr:uid="{EE5384D7-7D88-4597-8E33-951DAE90BE6B}"/>
    <cellStyle name="Comma 86 2 2 2" xfId="1253" xr:uid="{37E64825-EE1A-4426-8E9C-FBA934FF2268}"/>
    <cellStyle name="Comma 86 2 3" xfId="1254" xr:uid="{AF0BCA98-A131-4E43-9F2E-ECDB17B28F5F}"/>
    <cellStyle name="Comma 86 2 4" xfId="1255" xr:uid="{6D857140-104F-44D4-9D69-579E4DB4FBD7}"/>
    <cellStyle name="Comma 86 2 5" xfId="1256" xr:uid="{5AEFF077-AEDD-47A4-B4CD-57B1CF21BB29}"/>
    <cellStyle name="Comma 86 3" xfId="1257" xr:uid="{5022268A-F8FE-41A7-9056-4BE2E489DFDA}"/>
    <cellStyle name="Comma 86 4" xfId="1258" xr:uid="{99705C1B-3FFD-457C-84EB-180CB4849863}"/>
    <cellStyle name="Comma 86 5" xfId="1259" xr:uid="{E9CF5479-FD4D-4448-A8E1-5716296E3AA1}"/>
    <cellStyle name="Comma 86 6" xfId="1260" xr:uid="{B9CBBFFA-04DE-4796-9AF5-49FD7C301BD7}"/>
    <cellStyle name="Comma 87" xfId="1261" xr:uid="{4F23E9C4-DBB6-4C30-824D-E970CA95C242}"/>
    <cellStyle name="Comma 87 2" xfId="1262" xr:uid="{AADF8EA7-43F6-4B6A-A325-E529AC8A794D}"/>
    <cellStyle name="Comma 87 2 2" xfId="1263" xr:uid="{1E1FB2B6-B39C-418B-AF34-DE7F8E44E26A}"/>
    <cellStyle name="Comma 87 2 2 2" xfId="1264" xr:uid="{DD9DA7B4-11BE-4256-97F0-C2CD9D202A7F}"/>
    <cellStyle name="Comma 87 2 3" xfId="1265" xr:uid="{ECBFC8C4-046D-4523-BC0E-D621D53FCC11}"/>
    <cellStyle name="Comma 87 2 4" xfId="1266" xr:uid="{62A2CCDF-89E9-4964-B943-84E2701D9046}"/>
    <cellStyle name="Comma 87 2 5" xfId="1267" xr:uid="{B155A536-8412-4360-AC2C-F1A260BA5928}"/>
    <cellStyle name="Comma 87 3" xfId="1268" xr:uid="{896A9412-FB0C-4F27-A209-247F83B9F163}"/>
    <cellStyle name="Comma 87 4" xfId="1269" xr:uid="{741DC22B-0F5C-4D89-A882-3B0EA3A85E7E}"/>
    <cellStyle name="Comma 87 5" xfId="1270" xr:uid="{37F3F89E-A459-4BE3-8A7C-65B4CA9A9908}"/>
    <cellStyle name="Comma 87 6" xfId="1271" xr:uid="{22D4F23E-4230-46E6-BEC5-E7663D1012CB}"/>
    <cellStyle name="Comma 88" xfId="1272" xr:uid="{1FAFB2AA-BBEF-41BD-9A10-E35D6D5A7397}"/>
    <cellStyle name="Comma 88 2" xfId="1273" xr:uid="{923632F4-ACEE-4412-B707-97EF6D87902E}"/>
    <cellStyle name="Comma 88 2 2" xfId="1274" xr:uid="{6F10789D-BBAA-424F-8B97-9060161C783C}"/>
    <cellStyle name="Comma 88 2 2 2" xfId="1275" xr:uid="{8560F9C3-589B-4194-879F-15091ADB4587}"/>
    <cellStyle name="Comma 88 2 3" xfId="1276" xr:uid="{6F41445F-0CE1-438A-82D4-03AB8D068001}"/>
    <cellStyle name="Comma 88 2 4" xfId="1277" xr:uid="{23189870-107E-4CEC-AAA7-332109657602}"/>
    <cellStyle name="Comma 88 2 5" xfId="1278" xr:uid="{636A0FC9-83BC-4A8B-A82E-8011C5C3787C}"/>
    <cellStyle name="Comma 88 3" xfId="1279" xr:uid="{8CF7B625-DC1D-43C3-AA09-C7BD55BB96DC}"/>
    <cellStyle name="Comma 88 4" xfId="1280" xr:uid="{E123D0C8-B8E9-4E9C-9FAE-72B3F0626449}"/>
    <cellStyle name="Comma 88 5" xfId="1281" xr:uid="{D87FF726-876D-47F5-B1C7-190F97A1ECFD}"/>
    <cellStyle name="Comma 88 6" xfId="1282" xr:uid="{0B34527D-BFFE-4DB6-994C-F487AAC6636E}"/>
    <cellStyle name="Comma 89" xfId="1283" xr:uid="{9FF153FF-486B-4624-B8B1-0861E4822B81}"/>
    <cellStyle name="Comma 89 2" xfId="1284" xr:uid="{3FF65F13-F5FA-4C7B-A938-08F49AD84D90}"/>
    <cellStyle name="Comma 89 2 2" xfId="1285" xr:uid="{183605EA-FCED-44BF-995B-6C25943BFDDA}"/>
    <cellStyle name="Comma 89 2 2 2" xfId="1286" xr:uid="{2F82003C-384E-48CE-B4BF-CE3FD82FE909}"/>
    <cellStyle name="Comma 89 2 3" xfId="1287" xr:uid="{273C7EC0-118C-4B9F-9AB8-A3A2071F0033}"/>
    <cellStyle name="Comma 89 2 4" xfId="1288" xr:uid="{D8DFB042-3228-4262-9DD2-2CE1BDF0E202}"/>
    <cellStyle name="Comma 89 2 5" xfId="1289" xr:uid="{328271F5-617C-449D-8F6A-B7356EF785B4}"/>
    <cellStyle name="Comma 89 3" xfId="1290" xr:uid="{7E156A6D-5B65-4C62-84C6-329F4142EED3}"/>
    <cellStyle name="Comma 89 4" xfId="1291" xr:uid="{BF25287D-2965-4CD4-8027-8BA644A75720}"/>
    <cellStyle name="Comma 89 5" xfId="1292" xr:uid="{57B917E0-B119-4A2E-B411-BB677F5B5669}"/>
    <cellStyle name="Comma 89 6" xfId="1293" xr:uid="{F9F119ED-AA06-41C6-96B5-2CE8A7961A77}"/>
    <cellStyle name="Comma 9" xfId="1294" xr:uid="{079A06FF-AB73-4148-8A74-49ADDB55CDF8}"/>
    <cellStyle name="Comma 9 2" xfId="1295" xr:uid="{A3589B75-21DA-482D-895E-BF8E2E3FFF84}"/>
    <cellStyle name="Comma 9 2 2" xfId="1296" xr:uid="{2DA680EE-2B57-4709-A380-5625C625B16C}"/>
    <cellStyle name="Comma 9 2 2 2" xfId="1297" xr:uid="{3D85E849-B40E-4E63-8BD8-8534F509D81E}"/>
    <cellStyle name="Comma 9 2 3" xfId="1298" xr:uid="{35ADAF3A-F827-4D6E-927D-F1236A2EEADC}"/>
    <cellStyle name="Comma 9 2 4" xfId="1299" xr:uid="{9A1BB846-07B2-44C7-9A3B-4D09B4C5874B}"/>
    <cellStyle name="Comma 9 2 5" xfId="1300" xr:uid="{91576E91-7C2D-41BE-A1CF-BCD1F0636AFA}"/>
    <cellStyle name="Comma 9 3" xfId="1301" xr:uid="{40A5FB0F-4EC7-4E93-A26A-23A0BC6677CF}"/>
    <cellStyle name="Comma 9 4" xfId="1302" xr:uid="{2FF69ACF-6FF3-4813-94F2-6A39B99CB013}"/>
    <cellStyle name="Comma 9 5" xfId="1303" xr:uid="{A7DBC7DA-63BB-4EAD-AA21-7AAC0C130FA6}"/>
    <cellStyle name="Comma 9 6" xfId="1304" xr:uid="{A5BBE596-1B6F-47FF-A657-E0D53EB395D6}"/>
    <cellStyle name="Comma 90" xfId="1305" xr:uid="{954E7895-CD60-4720-B773-5485D2D4F4B1}"/>
    <cellStyle name="Comma 90 2" xfId="1306" xr:uid="{1808B6F1-D10D-412B-8D0B-2D529F9DF730}"/>
    <cellStyle name="Comma 90 2 2" xfId="1307" xr:uid="{56B15D7B-1814-43E0-AA6C-0D4FB22E12AF}"/>
    <cellStyle name="Comma 90 2 2 2" xfId="1308" xr:uid="{6C665278-59DB-4ABF-ADBE-D5A629932AA4}"/>
    <cellStyle name="Comma 90 2 3" xfId="1309" xr:uid="{F1574875-F281-403D-A8F8-16A378CF7425}"/>
    <cellStyle name="Comma 90 2 4" xfId="1310" xr:uid="{DEE8B106-6569-4D1F-A27F-8279992C2AE3}"/>
    <cellStyle name="Comma 90 2 5" xfId="1311" xr:uid="{DE5E66CD-8439-4426-AAA5-5396169985E0}"/>
    <cellStyle name="Comma 90 3" xfId="1312" xr:uid="{F48CCBFC-EE6C-43BA-8A4A-9035E94DA8E6}"/>
    <cellStyle name="Comma 90 4" xfId="1313" xr:uid="{42196FA1-4BC8-46CA-B9A1-F711BECADD1D}"/>
    <cellStyle name="Comma 90 5" xfId="1314" xr:uid="{920FC591-EA64-43E1-9937-7782BF593B4D}"/>
    <cellStyle name="Comma 90 6" xfId="1315" xr:uid="{42D5D50B-C6FE-4C17-8252-BF20A52F99FF}"/>
    <cellStyle name="Comma 91" xfId="1316" xr:uid="{C02928E2-2D72-4DE1-B310-99A04D421158}"/>
    <cellStyle name="Comma 91 2" xfId="1317" xr:uid="{212937AF-9E26-4A78-866A-5FA7936BB709}"/>
    <cellStyle name="Comma 91 2 2" xfId="1318" xr:uid="{04C295D5-F9D8-4F04-A034-C5F0E6315FD8}"/>
    <cellStyle name="Comma 91 2 2 2" xfId="1319" xr:uid="{1F34B97C-249E-40E6-A307-4AE2371F236F}"/>
    <cellStyle name="Comma 91 2 3" xfId="1320" xr:uid="{E2FFF459-B445-46C5-B7B6-CF4691C064D3}"/>
    <cellStyle name="Comma 91 2 4" xfId="1321" xr:uid="{08A9D8F8-B536-4E8D-97AB-DD07860907FF}"/>
    <cellStyle name="Comma 91 2 5" xfId="1322" xr:uid="{FD5EA528-1115-49A8-AEBC-10EFA15AF1D0}"/>
    <cellStyle name="Comma 91 3" xfId="1323" xr:uid="{35FD70F7-8E7A-4D4A-8AAF-BD5C9A8F8DE2}"/>
    <cellStyle name="Comma 91 4" xfId="1324" xr:uid="{94789B3B-9D2B-4F09-B88D-414793D5C194}"/>
    <cellStyle name="Comma 91 5" xfId="1325" xr:uid="{202EE981-2B7D-4927-BBA5-C1299EE41096}"/>
    <cellStyle name="Comma 91 6" xfId="1326" xr:uid="{63291015-6CB1-471D-BBC5-0540022868B9}"/>
    <cellStyle name="Comma 92" xfId="1327" xr:uid="{C7BF1708-A234-47C1-8D1F-AA02CE99E4E9}"/>
    <cellStyle name="Comma 92 2" xfId="1328" xr:uid="{7FFAACA7-A7B1-4B72-905B-84D05C0989EB}"/>
    <cellStyle name="Comma 92 2 2" xfId="1329" xr:uid="{8152B545-3D97-41CD-8E2C-8EDFFAA44210}"/>
    <cellStyle name="Comma 92 2 2 2" xfId="1330" xr:uid="{F83B62D2-C1A4-4A39-9D85-E9857CAC4461}"/>
    <cellStyle name="Comma 92 2 3" xfId="1331" xr:uid="{63996B51-3795-4C86-80A1-C86EF06601E9}"/>
    <cellStyle name="Comma 92 2 4" xfId="1332" xr:uid="{F99FF8BA-3040-48F9-BCF2-71B1CD3753B8}"/>
    <cellStyle name="Comma 92 2 5" xfId="1333" xr:uid="{70871C26-FB68-4162-B2EE-420B8EF1060B}"/>
    <cellStyle name="Comma 92 3" xfId="1334" xr:uid="{88A5579D-A10B-4770-B4AC-B63D9E68DF79}"/>
    <cellStyle name="Comma 92 4" xfId="1335" xr:uid="{CBC4F97E-86D5-417F-B846-CD3EBF8B522A}"/>
    <cellStyle name="Comma 92 5" xfId="1336" xr:uid="{43EA31E0-58BD-4421-8A35-605B51B557C9}"/>
    <cellStyle name="Comma 92 6" xfId="1337" xr:uid="{3E8BF1C7-6BC3-4587-A421-A9B5F8566DFE}"/>
    <cellStyle name="Comma 93" xfId="1338" xr:uid="{00BC3380-CAAF-4865-B980-2216423C6AFA}"/>
    <cellStyle name="Comma 93 2" xfId="1339" xr:uid="{95C09AA3-7C25-427A-9C03-EE9E3F95817E}"/>
    <cellStyle name="Comma 93 2 2" xfId="1340" xr:uid="{D79551D0-C47E-4255-A0A8-2F82C439BC4F}"/>
    <cellStyle name="Comma 93 2 2 2" xfId="1341" xr:uid="{30D5DB3A-684D-4564-96AF-B2F7B64B2011}"/>
    <cellStyle name="Comma 93 2 3" xfId="1342" xr:uid="{F562F75F-30A7-439C-9685-96A6D09B39ED}"/>
    <cellStyle name="Comma 93 2 4" xfId="1343" xr:uid="{2E3DECE0-8EBC-4E1C-B061-45EC06BD6E15}"/>
    <cellStyle name="Comma 93 2 5" xfId="1344" xr:uid="{1FA9A606-8E0A-42D6-AF02-A91E9C26A94F}"/>
    <cellStyle name="Comma 93 3" xfId="1345" xr:uid="{FE8259DA-1829-4F3C-A6DD-FFF5134FB4CA}"/>
    <cellStyle name="Comma 93 4" xfId="1346" xr:uid="{BA3436F8-D16D-4938-9A88-E939B21C5579}"/>
    <cellStyle name="Comma 93 5" xfId="1347" xr:uid="{A20511F1-38E5-48AE-A9C0-CF5D65292E4C}"/>
    <cellStyle name="Comma 93 6" xfId="1348" xr:uid="{31FA1B9D-DF52-4439-8CA5-B08F3673BB86}"/>
    <cellStyle name="Comma 94" xfId="1349" xr:uid="{87C48739-4117-4BC8-9C0F-1FE8958B2E0C}"/>
    <cellStyle name="Comma 94 2" xfId="1350" xr:uid="{8A1D561A-97D5-4596-83F9-8FADF43AD85D}"/>
    <cellStyle name="Comma 94 2 2" xfId="1351" xr:uid="{E030D900-9005-4D4B-86ED-DFC147997691}"/>
    <cellStyle name="Comma 94 2 2 2" xfId="1352" xr:uid="{34643496-A670-4CDB-B571-91EC23598D60}"/>
    <cellStyle name="Comma 94 2 3" xfId="1353" xr:uid="{111251BB-6806-43AD-A434-5D36DE4A2D88}"/>
    <cellStyle name="Comma 94 2 4" xfId="1354" xr:uid="{BA528264-ED89-4186-A310-19CD3BD00205}"/>
    <cellStyle name="Comma 94 2 5" xfId="1355" xr:uid="{6FB4A15F-A9A2-4A27-BDEA-C4A1EE31BD25}"/>
    <cellStyle name="Comma 94 3" xfId="1356" xr:uid="{F5BD7306-4B22-492F-816F-FA390431ACD9}"/>
    <cellStyle name="Comma 94 4" xfId="1357" xr:uid="{F4EFD9EC-DA2E-4B56-BB54-838AE581AB57}"/>
    <cellStyle name="Comma 94 5" xfId="1358" xr:uid="{9139B482-98E8-4340-819F-754F0C3C0345}"/>
    <cellStyle name="Comma 94 6" xfId="1359" xr:uid="{35DA6A8A-62F3-4CE4-A3B6-0FEA9D463E7D}"/>
    <cellStyle name="Comma 95" xfId="1360" xr:uid="{B76A3BC6-8A37-4B34-BECF-04B9240E77B3}"/>
    <cellStyle name="Comma 95 2" xfId="1361" xr:uid="{5DB06FEF-0D05-4F23-8CBD-F7B899985629}"/>
    <cellStyle name="Comma 95 2 2" xfId="1362" xr:uid="{C4A623FD-1AEE-4058-9CF8-1D03BBEB2129}"/>
    <cellStyle name="Comma 95 2 2 2" xfId="1363" xr:uid="{1237F96D-697A-4FF4-9801-FC78CA2C4797}"/>
    <cellStyle name="Comma 95 2 3" xfId="1364" xr:uid="{14BBC9F9-B6C6-42C1-A334-498EED0F612A}"/>
    <cellStyle name="Comma 95 2 4" xfId="1365" xr:uid="{BDA421B2-9343-4272-BF29-984E6BA0A3BF}"/>
    <cellStyle name="Comma 95 2 5" xfId="1366" xr:uid="{3BAFEA92-2493-4192-8711-55A9F8D20DC5}"/>
    <cellStyle name="Comma 95 3" xfId="1367" xr:uid="{E69E6A49-ECF5-49D8-8E1A-785931E24C0B}"/>
    <cellStyle name="Comma 95 4" xfId="1368" xr:uid="{164B8533-7DEE-44FB-9871-76A4A1BC342A}"/>
    <cellStyle name="Comma 95 5" xfId="1369" xr:uid="{990D5E0A-66F0-4221-A255-10727A068B3E}"/>
    <cellStyle name="Comma 95 6" xfId="1370" xr:uid="{DE2F107D-62AB-4EF7-95A8-42BDF1C4378D}"/>
    <cellStyle name="Comma 96" xfId="1371" xr:uid="{1B21A539-9055-4000-BF79-80FA9D39F7C0}"/>
    <cellStyle name="Comma 96 2" xfId="1372" xr:uid="{C9E2FC4E-DB80-45E8-8F16-85AA2125D22F}"/>
    <cellStyle name="Comma 96 2 2" xfId="1373" xr:uid="{6E69BF51-BA6C-43CB-A2CB-CD543641A25E}"/>
    <cellStyle name="Comma 96 2 2 2" xfId="1374" xr:uid="{CA006A39-9BEB-4AAB-9AE0-AC5E3AFD2CF0}"/>
    <cellStyle name="Comma 96 2 3" xfId="1375" xr:uid="{577E6606-7F26-4EA9-8666-153300FABD8F}"/>
    <cellStyle name="Comma 96 2 4" xfId="1376" xr:uid="{3DE9DF4A-6E90-4DE6-935A-334F0CB49C5B}"/>
    <cellStyle name="Comma 96 2 5" xfId="1377" xr:uid="{3058C4FA-5CB3-4A26-BA6D-4A6D3EBD4E64}"/>
    <cellStyle name="Comma 96 3" xfId="1378" xr:uid="{272C3180-C527-416B-9941-31C80E3782EE}"/>
    <cellStyle name="Comma 96 4" xfId="1379" xr:uid="{A07222D9-0220-43A9-BE81-674E4CB3BB4D}"/>
    <cellStyle name="Comma 96 5" xfId="1380" xr:uid="{35CA9795-9A5A-46AC-9AF7-37C771193319}"/>
    <cellStyle name="Comma 96 6" xfId="1381" xr:uid="{C22A4B39-720D-4E04-8C70-57AF04D0AEF5}"/>
    <cellStyle name="Comma 97" xfId="1382" xr:uid="{FA54B1BA-45EC-4034-90F1-60C9A7660E6E}"/>
    <cellStyle name="Comma 97 2" xfId="1383" xr:uid="{53893A67-1E54-45F8-B695-5EEAEAEC2472}"/>
    <cellStyle name="Comma 97 2 2" xfId="1384" xr:uid="{3BD46AED-1D6B-4EBC-AB9C-E1B4A874387E}"/>
    <cellStyle name="Comma 97 2 2 2" xfId="1385" xr:uid="{B15CBFAC-8F86-49F9-8570-F66E19B36AFE}"/>
    <cellStyle name="Comma 97 2 3" xfId="1386" xr:uid="{ED10ADA3-8C32-4BD9-B1ED-995DF7C2A2DB}"/>
    <cellStyle name="Comma 97 2 4" xfId="1387" xr:uid="{54E591D7-2B5C-4B4A-B5B1-E4497B8AD890}"/>
    <cellStyle name="Comma 97 2 5" xfId="1388" xr:uid="{23D9BE88-54AD-4C46-874C-61C7750D6460}"/>
    <cellStyle name="Comma 97 3" xfId="1389" xr:uid="{8A3A15A8-965D-4B0B-845E-7786B12E6C4A}"/>
    <cellStyle name="Comma 97 4" xfId="1390" xr:uid="{EC40089B-2948-4E29-A258-572074B67716}"/>
    <cellStyle name="Comma 97 5" xfId="1391" xr:uid="{770D98F6-15B7-468D-AFD7-AE7956E87FF5}"/>
    <cellStyle name="Comma 97 6" xfId="1392" xr:uid="{D37AB6B0-A9D1-4D47-8518-1789AA34C607}"/>
    <cellStyle name="Comma 98" xfId="1393" xr:uid="{254A22D8-61BC-49D3-BB8F-69AB2B834062}"/>
    <cellStyle name="Comma 98 2" xfId="1394" xr:uid="{4543602F-B402-4309-8E88-135990D37728}"/>
    <cellStyle name="Comma 98 2 2" xfId="1395" xr:uid="{550F3D1B-0988-426A-833A-D5D20398C6F1}"/>
    <cellStyle name="Comma 98 2 2 2" xfId="1396" xr:uid="{6FBD60F4-F7C9-4910-B546-BFF8868DA3B7}"/>
    <cellStyle name="Comma 98 2 3" xfId="1397" xr:uid="{6332EDFD-827A-4410-A587-6031F1A0C30A}"/>
    <cellStyle name="Comma 98 2 4" xfId="1398" xr:uid="{073492F8-DAFE-4986-9590-E3F1FC7BAB98}"/>
    <cellStyle name="Comma 98 2 5" xfId="1399" xr:uid="{2764FCBC-DE25-4020-A461-D12538FC2FFB}"/>
    <cellStyle name="Comma 98 3" xfId="1400" xr:uid="{CC6DD21B-6FD2-4E26-A6AC-F4C811951BB2}"/>
    <cellStyle name="Comma 98 4" xfId="1401" xr:uid="{368E5F7C-756C-415E-B654-C77B64AED23F}"/>
    <cellStyle name="Comma 98 5" xfId="1402" xr:uid="{EE836E28-A512-4C60-9BC9-3089F5F64F0F}"/>
    <cellStyle name="Comma 98 6" xfId="1403" xr:uid="{8FAB153F-A2B5-415B-A7F6-C070CA2220FE}"/>
    <cellStyle name="Comma 99" xfId="1404" xr:uid="{F48C48B5-BF7C-46C9-A357-5676ACDB516E}"/>
    <cellStyle name="Comma 99 2" xfId="1405" xr:uid="{E229AE6E-3868-4A26-B4F1-0E046E4DF42C}"/>
    <cellStyle name="Comma 99 2 2" xfId="1406" xr:uid="{61A7F722-7979-4DA0-A0BB-68E500E09E6F}"/>
    <cellStyle name="Comma 99 2 2 2" xfId="1407" xr:uid="{E02D0EB6-2C6F-4233-BE6C-908EE3C5EEB4}"/>
    <cellStyle name="Comma 99 2 3" xfId="1408" xr:uid="{1F0B52C0-5F98-49F5-8558-8AFF85F5AE89}"/>
    <cellStyle name="Comma 99 2 4" xfId="1409" xr:uid="{EB93706A-F488-44D2-8E8E-6964CDB0B150}"/>
    <cellStyle name="Comma 99 2 5" xfId="1410" xr:uid="{01B1E0A2-E7D8-4EF7-8BD6-6F1AB9B3A112}"/>
    <cellStyle name="Comma 99 3" xfId="1411" xr:uid="{BEC0F56F-793F-4021-890B-1C4534341056}"/>
    <cellStyle name="Comma 99 4" xfId="1412" xr:uid="{73444418-B585-43AA-A7D9-B0F42D904B88}"/>
    <cellStyle name="Comma 99 5" xfId="1413" xr:uid="{A0E95505-1E8C-451D-AA08-7B92C6BBBA3D}"/>
    <cellStyle name="Comma 99 6" xfId="1414" xr:uid="{99A6522D-2F57-4678-B3E3-561F94540854}"/>
    <cellStyle name="Currency 2" xfId="1416" xr:uid="{02F76BC8-5086-408E-9E52-3ADF822ED870}"/>
    <cellStyle name="Currency 3" xfId="1417" xr:uid="{0CC43D5C-48D6-40B6-9CFF-AF5489DBB8A1}"/>
    <cellStyle name="Currency 4" xfId="1415" xr:uid="{4D909CE9-D8B7-404D-8F90-D07B67C56991}"/>
    <cellStyle name="Hyperlink 2" xfId="1418" xr:uid="{01E9A141-EB84-427D-8CBD-22FE66B20AD5}"/>
    <cellStyle name="Hyperlink 2 2" xfId="1419" xr:uid="{E4C84372-7CFF-4D50-81EC-5E5CCFBEF08B}"/>
    <cellStyle name="Hyperlink 2 3" xfId="1420" xr:uid="{5908354D-2FC3-45CD-9E9C-BE5C51A0374F}"/>
    <cellStyle name="Hyperlink 3" xfId="1421" xr:uid="{3BBC22C6-04F1-46F9-9281-1A88975165B2}"/>
    <cellStyle name="Normal" xfId="0" builtinId="0"/>
    <cellStyle name="Normal 10" xfId="1422" xr:uid="{A1C21213-4E0E-4C00-A88F-88E1E941E475}"/>
    <cellStyle name="Normal 10 2" xfId="1423" xr:uid="{249A4B3A-D89E-4A44-99D3-4DD8C668AA4D}"/>
    <cellStyle name="Normal 10 2 2" xfId="1424" xr:uid="{C2EC3369-7427-4B9D-89AA-08C34337B8F2}"/>
    <cellStyle name="Normal 10 2 2 2" xfId="1425" xr:uid="{579B11C5-D65D-47E7-93C3-106B6882EC6D}"/>
    <cellStyle name="Normal 10 2 3" xfId="1426" xr:uid="{CD8BCD3D-EA25-4552-947F-C6D0D513AD63}"/>
    <cellStyle name="Normal 10 2 4" xfId="1427" xr:uid="{244BB50D-A232-40F7-948C-4A3CFECF039C}"/>
    <cellStyle name="Normal 10 3" xfId="1428" xr:uid="{F2CF5DFC-1E47-4A7E-9161-F91CC09E93CF}"/>
    <cellStyle name="Normal 10 3 2" xfId="1429" xr:uid="{0363D631-539D-4BE4-9890-71EDDFE4D47B}"/>
    <cellStyle name="Normal 10 4" xfId="1430" xr:uid="{F8FBD7E5-D879-4DE4-991E-A77259E3F27E}"/>
    <cellStyle name="Normal 10 5" xfId="1431" xr:uid="{1CF6B677-7AD5-4E10-937B-C0A70276A032}"/>
    <cellStyle name="Normal 11" xfId="1432" xr:uid="{5B8D1D87-AD44-486D-823B-7BECE240398F}"/>
    <cellStyle name="Normal 11 2" xfId="1433" xr:uid="{C662EE86-AE73-4278-BF27-AE6654D7A8D1}"/>
    <cellStyle name="Normal 12" xfId="1434" xr:uid="{8BA2B5B5-2F5E-44BF-BB34-D07F8C5349E2}"/>
    <cellStyle name="Normal 13" xfId="1435" xr:uid="{41955B5A-48DB-4B88-8DFA-9CA9DB505183}"/>
    <cellStyle name="Normal 14" xfId="1" xr:uid="{66D7AFBE-F6DE-4302-8CB5-56FA61408349}"/>
    <cellStyle name="Normal 2" xfId="1436" xr:uid="{ABB4DC30-5781-4433-ABD8-A6F565C078A9}"/>
    <cellStyle name="Normal 2 10" xfId="1437" xr:uid="{E70ABA38-9306-4FB3-BA77-8601F28112BE}"/>
    <cellStyle name="Normal 2 10 2" xfId="1438" xr:uid="{171FC69E-FAFB-4696-9BFF-19C947FCDB2A}"/>
    <cellStyle name="Normal 2 10 2 2" xfId="1439" xr:uid="{A6CFD3D9-6F7B-46A3-968E-834D338A5DB6}"/>
    <cellStyle name="Normal 2 10 2 2 2" xfId="1440" xr:uid="{EBAA1B34-E4B7-4D43-9660-7B04CCE5EED7}"/>
    <cellStyle name="Normal 2 10 2 3" xfId="1441" xr:uid="{8E685BD3-FD04-4E02-9A76-6C30E77925CF}"/>
    <cellStyle name="Normal 2 10 2 4" xfId="1442" xr:uid="{75A4CD14-7A5C-4AD9-89F5-57DD61E6C0E2}"/>
    <cellStyle name="Normal 2 10 3" xfId="1443" xr:uid="{3AE0C3F2-7B81-4AE1-9066-4406BA1C8F5E}"/>
    <cellStyle name="Normal 2 10 3 2" xfId="1444" xr:uid="{226D160C-9492-48CD-8C4F-613AA4BB66AC}"/>
    <cellStyle name="Normal 2 10 4" xfId="1445" xr:uid="{6D632CF7-1212-492F-9E56-175B286F6ADF}"/>
    <cellStyle name="Normal 2 10 5" xfId="1446" xr:uid="{1AC934D8-5007-4048-816E-595BC93F2179}"/>
    <cellStyle name="Normal 2 10 6" xfId="1447" xr:uid="{265148B6-2F87-41D2-8BAB-722C213CE2E4}"/>
    <cellStyle name="Normal 2 10 7" xfId="1448" xr:uid="{384D6791-C108-4F54-B8AA-9C0A06D53B00}"/>
    <cellStyle name="Normal 2 11" xfId="1449" xr:uid="{9B50545B-8C67-4BB6-B624-CB233B3929D8}"/>
    <cellStyle name="Normal 2 11 2" xfId="1450" xr:uid="{FF3D4862-570E-4426-B922-E867B3B6ADD4}"/>
    <cellStyle name="Normal 2 11 2 2" xfId="1451" xr:uid="{076AC2EE-2456-49F1-86AA-A5A6657FB9E2}"/>
    <cellStyle name="Normal 2 11 2 2 2" xfId="1452" xr:uid="{9C1B5B5D-0D6D-4053-9E17-7F7D300AF555}"/>
    <cellStyle name="Normal 2 11 2 3" xfId="1453" xr:uid="{8110A566-0CBE-4B51-AC3E-DAB3588ECEF3}"/>
    <cellStyle name="Normal 2 11 2 4" xfId="1454" xr:uid="{996D0C32-9A23-4C2D-B00E-E790F593A894}"/>
    <cellStyle name="Normal 2 11 3" xfId="1455" xr:uid="{5B28CE8A-076C-4691-A7D4-E22F201549AC}"/>
    <cellStyle name="Normal 2 11 3 2" xfId="1456" xr:uid="{CAB28707-DAB0-4DBD-BBFF-016D4AECEBAC}"/>
    <cellStyle name="Normal 2 11 4" xfId="1457" xr:uid="{785ADDE5-8618-4FF9-92D8-D8FCF218448F}"/>
    <cellStyle name="Normal 2 11 5" xfId="1458" xr:uid="{1181D6BA-092A-42F2-B39F-B64D28F9A0A0}"/>
    <cellStyle name="Normal 2 11 6" xfId="1459" xr:uid="{C9D3F624-6303-4788-B181-C0428BE9FE4E}"/>
    <cellStyle name="Normal 2 11 7" xfId="1460" xr:uid="{26D0276C-4EAB-4FBD-936B-7C9C91E44D0B}"/>
    <cellStyle name="Normal 2 12" xfId="1461" xr:uid="{90E63199-8BB2-4899-BF4B-B63D908F5BD5}"/>
    <cellStyle name="Normal 2 12 2" xfId="1462" xr:uid="{8F18C44C-7858-4E66-9255-E25428F76426}"/>
    <cellStyle name="Normal 2 12 2 2" xfId="1463" xr:uid="{C5542716-8059-4E9B-BBFB-0964E76C2D3D}"/>
    <cellStyle name="Normal 2 12 2 2 2" xfId="1464" xr:uid="{E68C99A5-ABCE-426F-A29E-585473A7F9B4}"/>
    <cellStyle name="Normal 2 12 2 3" xfId="1465" xr:uid="{E93B19CF-60FF-4382-BA1C-742E494CE363}"/>
    <cellStyle name="Normal 2 12 2 4" xfId="1466" xr:uid="{1232F893-6824-49B6-880D-8FA181731542}"/>
    <cellStyle name="Normal 2 12 3" xfId="1467" xr:uid="{A41DD858-1AF3-4EE3-92BE-E2CE0D870648}"/>
    <cellStyle name="Normal 2 12 3 2" xfId="1468" xr:uid="{DC58CEA6-D4AE-4482-8E57-BA780B6B0BAC}"/>
    <cellStyle name="Normal 2 12 4" xfId="1469" xr:uid="{021A5DD6-2596-4451-B455-376F08384C4C}"/>
    <cellStyle name="Normal 2 12 5" xfId="1470" xr:uid="{3F69CB75-281A-4B06-BD5B-BA0E4E6477CE}"/>
    <cellStyle name="Normal 2 12 6" xfId="1471" xr:uid="{87A3E0B4-C470-4ECF-921F-F21F1C97D8AD}"/>
    <cellStyle name="Normal 2 12 7" xfId="1472" xr:uid="{7A716039-413D-4F01-90BC-F2A570D15FDF}"/>
    <cellStyle name="Normal 2 13" xfId="1473" xr:uid="{F84A0C45-0E19-4A9D-94AA-E63B7EB53470}"/>
    <cellStyle name="Normal 2 13 2" xfId="1474" xr:uid="{0D5CD8E9-C702-4E49-91F2-38F1FF563CC5}"/>
    <cellStyle name="Normal 2 13 2 2" xfId="1475" xr:uid="{2C68388B-698E-441D-A83E-0D11DE3CF084}"/>
    <cellStyle name="Normal 2 13 2 2 2" xfId="1476" xr:uid="{9A369F7D-36F3-48F5-A497-DCB1764769BD}"/>
    <cellStyle name="Normal 2 13 2 3" xfId="1477" xr:uid="{DC5D5863-8748-4C6C-AC2E-664692D70424}"/>
    <cellStyle name="Normal 2 13 2 4" xfId="1478" xr:uid="{681B921A-CB2E-49B3-9C35-AAECE5010823}"/>
    <cellStyle name="Normal 2 13 3" xfId="1479" xr:uid="{0D21269F-DDBA-4AB0-88A1-D78EA3063E73}"/>
    <cellStyle name="Normal 2 13 3 2" xfId="1480" xr:uid="{E4482D1F-56FC-4C6A-AC2C-46BD3DE17CE7}"/>
    <cellStyle name="Normal 2 13 4" xfId="1481" xr:uid="{E35826A5-E773-4899-90E7-8ED3CCC19290}"/>
    <cellStyle name="Normal 2 13 5" xfId="1482" xr:uid="{5A086B16-6065-4571-8F10-5E492FEE33A0}"/>
    <cellStyle name="Normal 2 13 6" xfId="1483" xr:uid="{975A0F86-AF6B-4D91-81CD-A677AF69B8A7}"/>
    <cellStyle name="Normal 2 13 7" xfId="1484" xr:uid="{0D1D59E6-F213-4EA2-9D73-098B9C7C579C}"/>
    <cellStyle name="Normal 2 14" xfId="1485" xr:uid="{0703BCD4-9926-472E-9D89-C7D55CF7C25B}"/>
    <cellStyle name="Normal 2 14 2" xfId="1486" xr:uid="{FA26D57B-1AEA-42D0-AD9A-ECD39135DACE}"/>
    <cellStyle name="Normal 2 14 2 2" xfId="1487" xr:uid="{CDA831B4-D463-4C0E-ADAE-39AF96C69A59}"/>
    <cellStyle name="Normal 2 14 2 2 2" xfId="1488" xr:uid="{E3154D53-0FB9-4A6E-80CD-C6228ABABE62}"/>
    <cellStyle name="Normal 2 14 2 3" xfId="1489" xr:uid="{5BBE56A5-B608-42AE-95EE-952D87AF3BF1}"/>
    <cellStyle name="Normal 2 14 2 4" xfId="1490" xr:uid="{8AB3B103-3102-452F-ABAA-9FA40F0004AE}"/>
    <cellStyle name="Normal 2 14 3" xfId="1491" xr:uid="{4CB3E07D-C61A-4237-8A82-BA4D8A08C911}"/>
    <cellStyle name="Normal 2 14 3 2" xfId="1492" xr:uid="{BD3DDEF4-9CD3-42EF-B434-43BFEF7C3CF5}"/>
    <cellStyle name="Normal 2 14 4" xfId="1493" xr:uid="{D6D9367D-649F-4F0A-B31A-9A629E4CF83F}"/>
    <cellStyle name="Normal 2 14 5" xfId="1494" xr:uid="{CA2D5164-4D6D-4FB3-9E9F-3A3EF8491F6A}"/>
    <cellStyle name="Normal 2 14 6" xfId="1495" xr:uid="{76EF86B5-01B8-4CCC-ABAD-91F078E9ECA4}"/>
    <cellStyle name="Normal 2 14 7" xfId="1496" xr:uid="{8798F1A1-2AFC-47AD-9BD6-13CAEF646304}"/>
    <cellStyle name="Normal 2 15" xfId="1497" xr:uid="{1BF6D205-AA24-4E6F-8057-D80A5B3F643F}"/>
    <cellStyle name="Normal 2 15 2" xfId="1498" xr:uid="{81FCFB8B-CF00-49BE-B2B2-2CD054EF799F}"/>
    <cellStyle name="Normal 2 15 2 2" xfId="1499" xr:uid="{745B5AAC-A652-4081-832E-E29D7E1D3328}"/>
    <cellStyle name="Normal 2 15 2 2 2" xfId="1500" xr:uid="{69B4AED2-702C-40D5-9AEC-BE3E6841471B}"/>
    <cellStyle name="Normal 2 15 2 3" xfId="1501" xr:uid="{712258D1-9F0D-4C48-95BA-E475EE920195}"/>
    <cellStyle name="Normal 2 15 2 4" xfId="1502" xr:uid="{FDF8F67C-ED02-4A14-817C-FC4DB77FA77D}"/>
    <cellStyle name="Normal 2 15 3" xfId="1503" xr:uid="{88520120-9EE7-4211-9F33-DF0DEAF31062}"/>
    <cellStyle name="Normal 2 15 3 2" xfId="1504" xr:uid="{05C70175-C683-4353-B286-BB80D801C939}"/>
    <cellStyle name="Normal 2 15 4" xfId="1505" xr:uid="{9A5F4699-FC89-4EEF-8B5C-E07B8F234E29}"/>
    <cellStyle name="Normal 2 15 5" xfId="1506" xr:uid="{6FE7F2C5-89FD-47A4-8A12-4E2CEA35D2F3}"/>
    <cellStyle name="Normal 2 15 6" xfId="1507" xr:uid="{03E860EA-F627-4AAB-B301-2486B108B79B}"/>
    <cellStyle name="Normal 2 15 7" xfId="1508" xr:uid="{0529235B-7E0A-42C1-8CC8-C0C833909EA1}"/>
    <cellStyle name="Normal 2 16" xfId="1509" xr:uid="{999C73A2-F86D-4881-9AE2-2E15B0CF825E}"/>
    <cellStyle name="Normal 2 16 2" xfId="1510" xr:uid="{684D69DA-871E-4061-8454-D7D90546B25F}"/>
    <cellStyle name="Normal 2 16 2 2" xfId="1511" xr:uid="{0B8910FD-C352-49AF-A2B7-F1B384C37750}"/>
    <cellStyle name="Normal 2 16 2 2 2" xfId="1512" xr:uid="{CF6D09B4-7696-4787-A730-FF3BE4CBA14C}"/>
    <cellStyle name="Normal 2 16 2 3" xfId="1513" xr:uid="{6FD3FA07-F609-403A-83DD-D78A69777DE9}"/>
    <cellStyle name="Normal 2 16 2 4" xfId="1514" xr:uid="{0C2E5308-8088-4DCF-A4BB-39A9B514F064}"/>
    <cellStyle name="Normal 2 16 3" xfId="1515" xr:uid="{3BE43120-6EF9-4863-BDF5-0251EE209020}"/>
    <cellStyle name="Normal 2 16 3 2" xfId="1516" xr:uid="{6BA75A41-0637-403C-862F-E63F7C3E6236}"/>
    <cellStyle name="Normal 2 16 4" xfId="1517" xr:uid="{4F99F215-494D-44AF-A3E8-17F6BF96FB25}"/>
    <cellStyle name="Normal 2 16 5" xfId="1518" xr:uid="{CE106FE8-F749-4D1E-A042-636A0D0E1E63}"/>
    <cellStyle name="Normal 2 16 6" xfId="1519" xr:uid="{B9D0B435-44FC-4D28-A3A0-054AEE4943D7}"/>
    <cellStyle name="Normal 2 16 7" xfId="1520" xr:uid="{FF759A4E-1B21-468A-9F3D-CFE7C3CB21A5}"/>
    <cellStyle name="Normal 2 17" xfId="1521" xr:uid="{36A051D9-8502-41E8-82BC-0926C871E599}"/>
    <cellStyle name="Normal 2 17 2" xfId="1522" xr:uid="{75B91A10-5801-47A3-A16E-972AD43D5AAE}"/>
    <cellStyle name="Normal 2 17 2 2" xfId="1523" xr:uid="{61D35919-6CC5-4DC4-9933-59A6896A92F0}"/>
    <cellStyle name="Normal 2 17 2 2 2" xfId="1524" xr:uid="{FF13B0F6-D98E-4B31-AE85-B292AC7B7BBB}"/>
    <cellStyle name="Normal 2 17 2 3" xfId="1525" xr:uid="{FDED73BB-575A-4F1C-A2F7-E980BE403FD1}"/>
    <cellStyle name="Normal 2 17 2 4" xfId="1526" xr:uid="{79C3872D-6633-4344-BC9D-4BA434DEE61C}"/>
    <cellStyle name="Normal 2 17 3" xfId="1527" xr:uid="{CD7A9936-2C01-4BAE-8161-F09FDB4F873A}"/>
    <cellStyle name="Normal 2 17 3 2" xfId="1528" xr:uid="{D3CD6BF3-7D06-4405-AEFA-970EFE0819F6}"/>
    <cellStyle name="Normal 2 17 4" xfId="1529" xr:uid="{C5D865F6-4DC3-424E-8C7A-0D817B77160B}"/>
    <cellStyle name="Normal 2 17 5" xfId="1530" xr:uid="{F3811FB9-E28D-49AB-AE1E-D267F886BF26}"/>
    <cellStyle name="Normal 2 17 6" xfId="1531" xr:uid="{60035794-83E5-44F0-9920-A54F4A04A3FF}"/>
    <cellStyle name="Normal 2 18" xfId="1532" xr:uid="{093D8128-4EA3-4B42-BF20-FF3DBF539C6C}"/>
    <cellStyle name="Normal 2 19" xfId="1533" xr:uid="{095CD2C5-566B-44CD-B1E5-51B502C17C9A}"/>
    <cellStyle name="Normal 2 2" xfId="1534" xr:uid="{2FFA3250-6167-48B0-AFDD-B651A52331DB}"/>
    <cellStyle name="Normal 2 2 2 2 2 2" xfId="1535" xr:uid="{948DC668-55F4-41A7-931A-B71E28215FF7}"/>
    <cellStyle name="Normal 2 2 2 2 2 2 2" xfId="1536" xr:uid="{43EDD653-0690-488E-9836-4A1AF7FF4738}"/>
    <cellStyle name="Normal 2 2 2 2 2 2 2 2" xfId="1537" xr:uid="{332A0C52-EA5C-45D1-82B6-5265C23C06E9}"/>
    <cellStyle name="Normal 2 2 2 2 2 2 2 2 2" xfId="1538" xr:uid="{33025428-4EFE-409F-96D9-B946626982C1}"/>
    <cellStyle name="Normal 2 2 2 2 2 2 2 2 2 2" xfId="1539" xr:uid="{6560DD5A-243F-4648-B840-A18D94BEE31F}"/>
    <cellStyle name="Normal 2 2 2 2 2 2 2 2 3" xfId="1540" xr:uid="{197CA9D7-1DDF-4440-B93F-3E60EFBD7DFC}"/>
    <cellStyle name="Normal 2 2 2 2 2 2 2 2 4" xfId="1541" xr:uid="{FA8CF96E-A771-4FEF-806E-ED22EA6AD5C9}"/>
    <cellStyle name="Normal 2 2 2 2 2 2 2 3" xfId="1542" xr:uid="{17B42025-77B1-43A8-B783-8E66D1954647}"/>
    <cellStyle name="Normal 2 2 2 2 2 2 2 3 2" xfId="1543" xr:uid="{83BC188B-E567-4F17-81D0-5FA0AC142D5B}"/>
    <cellStyle name="Normal 2 2 2 2 2 2 2 4" xfId="1544" xr:uid="{7D5DB5EA-2404-4BD5-845E-1E27F7799FAC}"/>
    <cellStyle name="Normal 2 2 2 2 2 2 2 5" xfId="1545" xr:uid="{6EC00798-4221-41FB-AE2C-676AB10E5009}"/>
    <cellStyle name="Normal 2 2 2 2 2 2 3" xfId="1546" xr:uid="{2EC9B509-11D3-45F0-9F78-34BF6791D64E}"/>
    <cellStyle name="Normal 2 2 2 2 2 2 3 2" xfId="1547" xr:uid="{82ABF291-1456-4014-978F-ECE5B2AD80AF}"/>
    <cellStyle name="Normal 2 2 2 2 2 2 3 2 2" xfId="1548" xr:uid="{9CF577AB-0A3E-4122-ACDF-B4ABAFB8BD80}"/>
    <cellStyle name="Normal 2 2 2 2 2 2 3 3" xfId="1549" xr:uid="{74A92B37-214C-4307-BDFF-A95542339D11}"/>
    <cellStyle name="Normal 2 2 2 2 2 2 3 4" xfId="1550" xr:uid="{FAE0252D-EADB-4BCB-98BD-054CA940BE55}"/>
    <cellStyle name="Normal 2 2 2 2 2 2 4" xfId="1551" xr:uid="{B9861087-3FCC-4388-B6AD-8F8375F676ED}"/>
    <cellStyle name="Normal 2 2 2 2 2 2 4 2" xfId="1552" xr:uid="{54B67875-20F8-4ED5-A4E8-313DE76E6AC6}"/>
    <cellStyle name="Normal 2 2 2 2 2 2 5" xfId="1553" xr:uid="{DFF1B7E9-A5C9-439B-99FE-B470D2B05E11}"/>
    <cellStyle name="Normal 2 2 2 2 2 2 6" xfId="1554" xr:uid="{D8E64D99-D46B-4256-B996-B3AACF7350D5}"/>
    <cellStyle name="Normal 2 3" xfId="1555" xr:uid="{5469E9EE-402B-406C-A65B-BA8725A0FFCD}"/>
    <cellStyle name="Normal 2 3 2" xfId="1556" xr:uid="{4E03331B-46F7-433E-9B10-52C9CF26DA0E}"/>
    <cellStyle name="Normal 2 3 2 2" xfId="1557" xr:uid="{6D88FFAD-6203-4DC0-B960-3A9936A85DF7}"/>
    <cellStyle name="Normal 2 3 2 2 2" xfId="1558" xr:uid="{87126D9E-07CC-40C8-9116-215CC3CDD4BF}"/>
    <cellStyle name="Normal 2 3 2 3" xfId="1559" xr:uid="{70A39C75-231E-473F-8CF9-7804A57FB24F}"/>
    <cellStyle name="Normal 2 3 2 4" xfId="1560" xr:uid="{588685B4-6E6F-4A82-8303-9D20E8E175CA}"/>
    <cellStyle name="Normal 2 3 3" xfId="1561" xr:uid="{3D3AF56A-9803-49A9-8211-AC326626FBEF}"/>
    <cellStyle name="Normal 2 3 3 2" xfId="1562" xr:uid="{847DF783-E66C-48CE-9450-D1A59AB7F022}"/>
    <cellStyle name="Normal 2 3 4" xfId="1563" xr:uid="{D5FA2909-3357-4376-BD6A-DF5CCA51C42B}"/>
    <cellStyle name="Normal 2 3 5" xfId="1564" xr:uid="{03360A34-49E1-4B1A-9044-0266B6E0702A}"/>
    <cellStyle name="Normal 2 3 6" xfId="1565" xr:uid="{56224FE4-952B-441D-BE41-411916FE4B7A}"/>
    <cellStyle name="Normal 2 3 7" xfId="1566" xr:uid="{C2A62E0D-A27C-46BA-B860-DA8B4625B581}"/>
    <cellStyle name="Normal 2 4" xfId="1567" xr:uid="{212ABCFB-06A8-485E-9A37-E47C46B39EA7}"/>
    <cellStyle name="Normal 2 4 2" xfId="1568" xr:uid="{52A7D5E4-0879-4B66-A81D-1CD7516347EF}"/>
    <cellStyle name="Normal 2 4 2 2" xfId="1569" xr:uid="{927F792C-CA7B-4F49-B81A-6C434F569C83}"/>
    <cellStyle name="Normal 2 4 2 2 2" xfId="1570" xr:uid="{86F7C0E5-500E-4F4D-887A-ED03A121DF1E}"/>
    <cellStyle name="Normal 2 4 2 3" xfId="1571" xr:uid="{BB1F9528-3D50-4B32-AD0D-CB19F98350BB}"/>
    <cellStyle name="Normal 2 4 2 4" xfId="1572" xr:uid="{C8BC1086-0E79-4EEC-B61C-F414D1F1188E}"/>
    <cellStyle name="Normal 2 4 3" xfId="1573" xr:uid="{46A51DFA-918C-47CC-9AFC-6E12D593EBD1}"/>
    <cellStyle name="Normal 2 4 3 2" xfId="1574" xr:uid="{58C60BB8-260E-4BC5-8E91-7927251718A7}"/>
    <cellStyle name="Normal 2 4 4" xfId="1575" xr:uid="{8AD153DE-F2FD-4731-87CF-265B49D97FE0}"/>
    <cellStyle name="Normal 2 4 5" xfId="1576" xr:uid="{00111DE8-FC9E-4520-984E-EE6335BDE2C5}"/>
    <cellStyle name="Normal 2 4 6" xfId="1577" xr:uid="{C8E27945-4E20-4C95-9172-2F48A8E0BCA8}"/>
    <cellStyle name="Normal 2 4 7" xfId="1578" xr:uid="{B8A9AD20-C731-4372-85B7-414B241BB87F}"/>
    <cellStyle name="Normal 2 5" xfId="1579" xr:uid="{AAB17579-4E3C-40E7-BC18-F925E8C848A1}"/>
    <cellStyle name="Normal 2 5 2" xfId="1580" xr:uid="{EF946E58-8371-4C0F-9D0D-4CE0627BC586}"/>
    <cellStyle name="Normal 2 5 2 2" xfId="1581" xr:uid="{5A8536BC-86DF-4710-A4A5-D5A3AD8B8DCC}"/>
    <cellStyle name="Normal 2 5 2 2 2" xfId="1582" xr:uid="{62C63CA3-0B5F-4512-A732-6B4747214FA5}"/>
    <cellStyle name="Normal 2 5 2 3" xfId="1583" xr:uid="{472E1A04-8BC3-4BD4-9512-0A14E2013FD9}"/>
    <cellStyle name="Normal 2 5 2 4" xfId="1584" xr:uid="{BEB968B1-1158-425B-9BB7-735CBAA289B0}"/>
    <cellStyle name="Normal 2 5 3" xfId="1585" xr:uid="{66AC8F08-478A-4D3D-BF73-9B39AD7AFDB8}"/>
    <cellStyle name="Normal 2 5 3 2" xfId="1586" xr:uid="{57AE2CAD-D712-4DBE-982B-BBA940DAF72A}"/>
    <cellStyle name="Normal 2 5 4" xfId="1587" xr:uid="{08C46132-18B5-491F-85B1-35DACDA295CF}"/>
    <cellStyle name="Normal 2 5 5" xfId="1588" xr:uid="{91B2ED79-5EE4-4149-8254-75A8C79F8C86}"/>
    <cellStyle name="Normal 2 5 6" xfId="1589" xr:uid="{751A52F8-01B9-4C16-B7A5-71DA1F9BFADE}"/>
    <cellStyle name="Normal 2 5 7" xfId="1590" xr:uid="{0709CC4A-04BB-4EB8-ABCA-0F3A57601FC0}"/>
    <cellStyle name="Normal 2 6" xfId="1591" xr:uid="{E9B6A478-7806-4158-817B-D6331B5FFB5C}"/>
    <cellStyle name="Normal 2 6 2" xfId="1592" xr:uid="{08908E80-7AD2-4099-AC7F-54FB3F8FDEF3}"/>
    <cellStyle name="Normal 2 6 2 2" xfId="1593" xr:uid="{CAA5C714-31F3-4CBC-96F5-4E50D2B553E6}"/>
    <cellStyle name="Normal 2 6 2 2 2" xfId="1594" xr:uid="{7CA2E65A-82CF-44B2-855A-9300D1780689}"/>
    <cellStyle name="Normal 2 6 2 3" xfId="1595" xr:uid="{DFEF078E-463E-4ECD-8EDA-33B74F69B58E}"/>
    <cellStyle name="Normal 2 6 2 4" xfId="1596" xr:uid="{1A98FC13-7946-45D3-9142-70BEB8B4057D}"/>
    <cellStyle name="Normal 2 6 3" xfId="1597" xr:uid="{211F0543-5F89-491E-A37C-AF7E6F7DEAF2}"/>
    <cellStyle name="Normal 2 6 3 2" xfId="1598" xr:uid="{1265954E-5F36-4C91-827A-C3BF2E8CA63B}"/>
    <cellStyle name="Normal 2 6 4" xfId="1599" xr:uid="{21BBC4B4-1C22-47C2-929E-7C40EAA0A3FE}"/>
    <cellStyle name="Normal 2 6 5" xfId="1600" xr:uid="{AC353EA9-710A-41D0-9755-5D6F8A2DD3AA}"/>
    <cellStyle name="Normal 2 6 6" xfId="1601" xr:uid="{23E502F2-A4AA-4236-AA88-F64B1AA475BC}"/>
    <cellStyle name="Normal 2 6 7" xfId="1602" xr:uid="{D6BA7441-52F9-4378-A795-57B856863C2E}"/>
    <cellStyle name="Normal 2 7" xfId="1603" xr:uid="{1290484A-2F63-4FF6-BC23-D8DD97B9FB27}"/>
    <cellStyle name="Normal 2 7 2" xfId="1604" xr:uid="{B8CC0A53-6D9B-4FD2-A9E1-E5E7D5B42871}"/>
    <cellStyle name="Normal 2 7 2 2" xfId="1605" xr:uid="{A0C0AB44-DCEE-471E-9689-6E3B618867E1}"/>
    <cellStyle name="Normal 2 7 2 2 2" xfId="1606" xr:uid="{9F230A71-20A5-4057-93E0-DE2D553551E9}"/>
    <cellStyle name="Normal 2 7 2 3" xfId="1607" xr:uid="{688026D9-C6B7-4384-B710-4ACAEE5E65AC}"/>
    <cellStyle name="Normal 2 7 2 4" xfId="1608" xr:uid="{D99C46AA-D6A3-4C37-BBC4-E095B9843367}"/>
    <cellStyle name="Normal 2 7 3" xfId="1609" xr:uid="{570F9842-0468-4ABD-B6C3-51BD5DE7ED75}"/>
    <cellStyle name="Normal 2 7 3 2" xfId="1610" xr:uid="{5872AC32-1C33-4B41-B9A1-013CB00B9DAE}"/>
    <cellStyle name="Normal 2 7 4" xfId="1611" xr:uid="{2CAE8E1F-A7EC-4051-9015-250579584B1F}"/>
    <cellStyle name="Normal 2 7 5" xfId="1612" xr:uid="{80143C1D-4E1D-4D97-A2AE-DB91D97BB6F9}"/>
    <cellStyle name="Normal 2 7 6" xfId="1613" xr:uid="{40E5EB7B-ADDF-4B89-A617-FD57DF1AB7E8}"/>
    <cellStyle name="Normal 2 7 7" xfId="1614" xr:uid="{8A0A9213-9D48-411D-861E-146034861EDE}"/>
    <cellStyle name="Normal 2 8" xfId="1615" xr:uid="{864D58B1-03E6-44D2-98AB-E8DF889F017E}"/>
    <cellStyle name="Normal 2 8 2" xfId="1616" xr:uid="{2B8741D7-7407-4112-B6BE-F7DC1BE1F8B7}"/>
    <cellStyle name="Normal 2 8 2 2" xfId="1617" xr:uid="{1820205F-166F-4A92-8E26-3971AF7D7801}"/>
    <cellStyle name="Normal 2 8 2 2 2" xfId="1618" xr:uid="{0F380D83-CD5B-4390-BECF-65FBB85D7349}"/>
    <cellStyle name="Normal 2 8 2 3" xfId="1619" xr:uid="{63131D23-EC00-4D49-A3D8-AE915BED7603}"/>
    <cellStyle name="Normal 2 8 2 4" xfId="1620" xr:uid="{10B0B67C-928A-477B-8F99-B32DE8530F44}"/>
    <cellStyle name="Normal 2 8 3" xfId="1621" xr:uid="{A13ADF6A-E13D-408C-A59F-2C66972CA28A}"/>
    <cellStyle name="Normal 2 8 3 2" xfId="1622" xr:uid="{92604D03-6B3F-46A1-9A98-4CCBF159AD6D}"/>
    <cellStyle name="Normal 2 8 4" xfId="1623" xr:uid="{4B618EE9-BCEA-4C5A-AE1B-D1D0C32C4E12}"/>
    <cellStyle name="Normal 2 8 5" xfId="1624" xr:uid="{D41D61A7-7058-4B91-88FC-FAE85D701C47}"/>
    <cellStyle name="Normal 2 8 6" xfId="1625" xr:uid="{6209FB11-19E4-4A84-A0DB-32C918A36E4B}"/>
    <cellStyle name="Normal 2 8 7" xfId="1626" xr:uid="{81BBCDC1-2620-4615-A44B-68A9A0BC5A95}"/>
    <cellStyle name="Normal 2 9" xfId="1627" xr:uid="{7B9BEA3D-E1AA-4CA5-BBE4-2964F87905C4}"/>
    <cellStyle name="Normal 2 9 2" xfId="1628" xr:uid="{DF612B01-4F71-4ABF-862E-50DB8C52B4C8}"/>
    <cellStyle name="Normal 2 9 2 2" xfId="1629" xr:uid="{5AFAC9AD-2E00-4B01-914A-F0EFCF52D29D}"/>
    <cellStyle name="Normal 2 9 2 2 2" xfId="1630" xr:uid="{81FE122D-1B94-4B47-B17A-86F67C70B8A9}"/>
    <cellStyle name="Normal 2 9 2 3" xfId="1631" xr:uid="{9710860D-4939-448C-80E1-C7D7E0880FAC}"/>
    <cellStyle name="Normal 2 9 2 4" xfId="1632" xr:uid="{66A53591-2A42-48EB-BB4F-B8411AADFBDB}"/>
    <cellStyle name="Normal 2 9 3" xfId="1633" xr:uid="{DEAC1C4F-76E4-4957-956A-24E3B9791F37}"/>
    <cellStyle name="Normal 2 9 3 2" xfId="1634" xr:uid="{6E005EDF-83C7-47D1-8BB3-27E0EDE215D0}"/>
    <cellStyle name="Normal 2 9 4" xfId="1635" xr:uid="{99E133BE-AC2A-4FFD-8525-56E76E36CA8A}"/>
    <cellStyle name="Normal 2 9 5" xfId="1636" xr:uid="{5CEADF53-5B93-40E4-A1D5-1089AC4C48BA}"/>
    <cellStyle name="Normal 2 9 6" xfId="1637" xr:uid="{7971BC3D-5468-402D-8C0D-7C1D6C5041A1}"/>
    <cellStyle name="Normal 2 9 7" xfId="1638" xr:uid="{75DC2222-62A7-4D18-8863-3CE76073940F}"/>
    <cellStyle name="Normal 3" xfId="1639" xr:uid="{26C110FF-F4FF-4A71-8F0E-31A44E7D8590}"/>
    <cellStyle name="Normal 3 10" xfId="1640" xr:uid="{E9B11355-B6F0-4211-8AD6-7DB0906C05BF}"/>
    <cellStyle name="Normal 3 10 2" xfId="1641" xr:uid="{7EB46201-A2E8-42E5-82DD-EC5C8E6AF6E0}"/>
    <cellStyle name="Normal 3 2" xfId="1642" xr:uid="{7DDBB210-127B-4FD2-8A8E-5A2D2027619B}"/>
    <cellStyle name="Normal 3 2 2" xfId="1643" xr:uid="{A83493BC-E54A-4CE7-9110-F76F86AD45EA}"/>
    <cellStyle name="Normal 3 2 2 2" xfId="1644" xr:uid="{5A468D4B-566F-4180-8BED-CBD6019B9300}"/>
    <cellStyle name="Normal 3 2 2 2 2" xfId="1645" xr:uid="{BE3A5BE9-3936-447F-BC24-D3B9962F7204}"/>
    <cellStyle name="Normal 3 2 2 2 2 2" xfId="1646" xr:uid="{EBD9BE8E-9AD3-4F43-8965-CD1A3C4CF0B9}"/>
    <cellStyle name="Normal 3 2 2 2 3" xfId="1647" xr:uid="{6EFC328E-EF60-4794-A208-DD8EEE67EB03}"/>
    <cellStyle name="Normal 3 2 2 2 4" xfId="1648" xr:uid="{88E42444-741C-4798-A9A1-3431AB67D3BA}"/>
    <cellStyle name="Normal 3 2 2 3" xfId="1649" xr:uid="{7FB9829E-6888-4AD3-B920-629F8104ECFC}"/>
    <cellStyle name="Normal 3 2 2 3 2" xfId="1650" xr:uid="{40550761-6170-42B4-A12E-13A3E1DEF07D}"/>
    <cellStyle name="Normal 3 2 2 4" xfId="1651" xr:uid="{90489667-67F4-431E-8000-2CDBAD1078A7}"/>
    <cellStyle name="Normal 3 2 2 5" xfId="1652" xr:uid="{517A3EE5-8D47-452A-845F-4C86B8A4B220}"/>
    <cellStyle name="Normal 3 2 3" xfId="1653" xr:uid="{5FD405EF-D352-4ADD-9711-7C7C77AB18D2}"/>
    <cellStyle name="Normal 3 2 3 2" xfId="1654" xr:uid="{3B001648-133D-46AB-B27E-F6A14C8AC0A5}"/>
    <cellStyle name="Normal 3 2 4" xfId="1655" xr:uid="{D154F3B8-BE68-4C0C-8F77-59C400E0A79E}"/>
    <cellStyle name="Normal 3 2 4 2" xfId="1656" xr:uid="{3C5EDF59-505E-4D29-83A9-E00D9DC9B05A}"/>
    <cellStyle name="Normal 3 2 4 2 2" xfId="1657" xr:uid="{E14C9916-22DA-45DB-9559-6E1FD4AA08C3}"/>
    <cellStyle name="Normal 3 2 4 3" xfId="1658" xr:uid="{9A55441B-F633-4B79-8492-DCE8FF40D234}"/>
    <cellStyle name="Normal 3 2 4 4" xfId="1659" xr:uid="{6337F2CB-E29A-428A-AAD7-F2699E903F23}"/>
    <cellStyle name="Normal 3 2 5" xfId="1660" xr:uid="{720F0748-54D7-42C9-9CAD-4C521D702E76}"/>
    <cellStyle name="Normal 3 2 5 2" xfId="1661" xr:uid="{6CC6FED6-E5E1-427F-9C05-C8E2D037DAF6}"/>
    <cellStyle name="Normal 3 2 6" xfId="1662" xr:uid="{034F4675-3326-4A43-A5D6-56E1DE8DF1CE}"/>
    <cellStyle name="Normal 3 2 7" xfId="1663" xr:uid="{6BBCEC8A-65CF-48BD-A5B1-5A8A4616A6B0}"/>
    <cellStyle name="Normal 3 2 8" xfId="1664" xr:uid="{2D30C2FF-ACB9-41CD-BC7A-C1560CC8F07C}"/>
    <cellStyle name="Normal 3 3" xfId="1665" xr:uid="{0425FF77-9966-453C-AA1D-7F86D4B9E23A}"/>
    <cellStyle name="Normal 3 3 2" xfId="1666" xr:uid="{8794D7A7-2D1B-4913-9153-7A833396BCB9}"/>
    <cellStyle name="Normal 3 3 2 2" xfId="1667" xr:uid="{C7ABC5FD-7F64-487F-ADA3-6232FF2E66DA}"/>
    <cellStyle name="Normal 3 3 2 2 2" xfId="1668" xr:uid="{86D8A169-3E0F-4B94-BB0F-7187CA70905B}"/>
    <cellStyle name="Normal 3 3 2 2 2 2" xfId="1669" xr:uid="{CD3B93F8-AA75-4223-A310-27F5D2269949}"/>
    <cellStyle name="Normal 3 3 2 2 3" xfId="1670" xr:uid="{BCE80BAD-B3F1-4101-81ED-429DC26EB132}"/>
    <cellStyle name="Normal 3 3 2 2 4" xfId="1671" xr:uid="{A8445CB7-4A78-4ABD-BB04-548D2C3A70E7}"/>
    <cellStyle name="Normal 3 3 2 3" xfId="1672" xr:uid="{B9AF9A18-93ED-4CB0-A80D-019A50F0BD3D}"/>
    <cellStyle name="Normal 3 3 2 3 2" xfId="1673" xr:uid="{2D79D987-52CA-47BA-A2D1-3DD4C4568DBE}"/>
    <cellStyle name="Normal 3 3 2 4" xfId="1674" xr:uid="{EAB5FCB8-B032-4B1D-88B0-3EDFCBEB9D32}"/>
    <cellStyle name="Normal 3 3 2 5" xfId="1675" xr:uid="{D6F5FC0D-D900-4D6A-A7BA-CEA87307D616}"/>
    <cellStyle name="Normal 3 3 3" xfId="1676" xr:uid="{564C08FA-FC14-4DC7-8350-F40BD5F090B8}"/>
    <cellStyle name="Normal 3 3 4" xfId="1677" xr:uid="{0F783506-250D-4A44-9CCB-49C568BA63E6}"/>
    <cellStyle name="Normal 3 3 4 2" xfId="1678" xr:uid="{8E7F06BF-4FBD-40F5-AE80-4B886BADC348}"/>
    <cellStyle name="Normal 3 3 4 2 2" xfId="1679" xr:uid="{03552488-39D3-4A1C-80A7-8CE19C51DCE7}"/>
    <cellStyle name="Normal 3 3 4 3" xfId="1680" xr:uid="{5B47DFBF-E0FC-4FF9-AA3D-4FBF13156143}"/>
    <cellStyle name="Normal 3 3 4 4" xfId="1681" xr:uid="{BC00F787-7581-425B-AEFE-008F0101AA55}"/>
    <cellStyle name="Normal 3 3 5" xfId="1682" xr:uid="{D4DBDB44-B9D8-487A-890D-A195E909B3A0}"/>
    <cellStyle name="Normal 3 3 5 2" xfId="1683" xr:uid="{9AD12F62-47BE-41FA-B54C-3A50B7E78A18}"/>
    <cellStyle name="Normal 3 3 6" xfId="1684" xr:uid="{6252C6AA-A603-438E-80CE-33A2DD4AC567}"/>
    <cellStyle name="Normal 3 3 7" xfId="1685" xr:uid="{B7901362-0B2D-4B31-9BEE-0288A8FC595B}"/>
    <cellStyle name="Normal 3 3 8" xfId="1686" xr:uid="{5737D1ED-1A63-4AE4-882F-C8BA39019E6D}"/>
    <cellStyle name="Normal 3 4" xfId="1687" xr:uid="{B8F5E6F6-0277-495E-ACD6-68B70535ADEA}"/>
    <cellStyle name="Normal 3 4 2" xfId="1688" xr:uid="{C7335C8C-8341-4226-91CD-D14C2F9C1239}"/>
    <cellStyle name="Normal 3 4 2 2" xfId="1689" xr:uid="{55E81D12-CA47-4A59-BE27-6D641E720592}"/>
    <cellStyle name="Normal 3 4 2 2 2" xfId="1690" xr:uid="{28655EB3-BA7A-4772-B651-FAAA8D22E9F1}"/>
    <cellStyle name="Normal 3 4 2 2 2 2" xfId="1691" xr:uid="{DC455ECA-7CAB-4ABC-9E8A-7A6564AD29B7}"/>
    <cellStyle name="Normal 3 4 2 2 3" xfId="1692" xr:uid="{06E3427B-1529-4903-BCD6-51D32275316C}"/>
    <cellStyle name="Normal 3 4 2 2 4" xfId="1693" xr:uid="{C0EE7419-5161-45E8-B94A-144E6E421633}"/>
    <cellStyle name="Normal 3 4 2 3" xfId="1694" xr:uid="{2565FEF5-639C-40B4-83AC-FD743201C89D}"/>
    <cellStyle name="Normal 3 4 2 3 2" xfId="1695" xr:uid="{023703CF-5233-409B-8B96-6527911230B4}"/>
    <cellStyle name="Normal 3 4 2 4" xfId="1696" xr:uid="{0B0B7B76-7FF9-42A1-9425-A4316FE604B8}"/>
    <cellStyle name="Normal 3 4 2 5" xfId="1697" xr:uid="{D4D7A459-49AB-4F20-A307-7463F1A00B27}"/>
    <cellStyle name="Normal 3 4 2 6" xfId="1698" xr:uid="{36F480FC-BFCA-4191-9462-FA92711E5679}"/>
    <cellStyle name="Normal 3 4 3" xfId="1699" xr:uid="{5C0D9A72-ACD7-4CD1-8710-6E8A31D12C97}"/>
    <cellStyle name="Normal 3 4 3 2" xfId="1700" xr:uid="{50DDB77D-889E-45B0-91B3-63119F0D1069}"/>
    <cellStyle name="Normal 3 4 3 2 2" xfId="1701" xr:uid="{8EAAA0B2-2090-4644-82D4-E38F2948166A}"/>
    <cellStyle name="Normal 3 4 3 3" xfId="1702" xr:uid="{D900D41A-0997-4365-B88F-BD17C9CAE0FC}"/>
    <cellStyle name="Normal 3 4 3 4" xfId="1703" xr:uid="{5903BC6B-5898-483B-B702-145FC397801C}"/>
    <cellStyle name="Normal 3 4 4" xfId="1704" xr:uid="{FA30EBA0-03A3-4B81-A69D-46A8A5FDEF3C}"/>
    <cellStyle name="Normal 3 4 4 2" xfId="1705" xr:uid="{7A411F2C-B0B4-45B6-8096-2473DC7199AF}"/>
    <cellStyle name="Normal 3 4 5" xfId="1706" xr:uid="{63553EF0-AEE3-4987-9B5A-5E34D9DD952C}"/>
    <cellStyle name="Normal 3 4 6" xfId="1707" xr:uid="{48A86F9D-CB99-472F-8612-79EB38223F82}"/>
    <cellStyle name="Normal 3 4 7" xfId="1708" xr:uid="{DB0E4904-13B5-42B2-8518-03FEC0F7D919}"/>
    <cellStyle name="Normal 3 5" xfId="1709" xr:uid="{41CD30BD-3C47-4FBA-94F8-623C5556EA64}"/>
    <cellStyle name="Normal 3 5 2" xfId="1710" xr:uid="{6B726B9F-E2D4-4BC3-B0A6-AC9549AE0E8A}"/>
    <cellStyle name="Normal 3 5 2 2" xfId="1711" xr:uid="{2B0E9FF1-2B33-4B49-9AB3-8FB1D9E2247C}"/>
    <cellStyle name="Normal 3 5 2 2 2" xfId="1712" xr:uid="{B4E190B8-6785-48F4-8DF2-33F76FB526F0}"/>
    <cellStyle name="Normal 3 5 2 3" xfId="1713" xr:uid="{5EEA26BF-06C1-489A-B3A0-FE4779B2CC37}"/>
    <cellStyle name="Normal 3 5 2 4" xfId="1714" xr:uid="{4EF6C23B-0DBD-40EF-B792-F74553AE254F}"/>
    <cellStyle name="Normal 3 5 2 5" xfId="1715" xr:uid="{75B889D6-100F-487E-B548-1263707FAA96}"/>
    <cellStyle name="Normal 3 5 3" xfId="1716" xr:uid="{007327FD-6321-4F8E-B01E-ACF838CE01D9}"/>
    <cellStyle name="Normal 3 5 3 2" xfId="1717" xr:uid="{6589558C-8EFA-4787-8272-290F4BC0AF5B}"/>
    <cellStyle name="Normal 3 5 4" xfId="1718" xr:uid="{608C970E-A8F4-40E4-9A79-89396ECEFCC6}"/>
    <cellStyle name="Normal 3 5 5" xfId="1719" xr:uid="{0EACD458-3A08-47A2-840C-85CA1E062A72}"/>
    <cellStyle name="Normal 3 5 6" xfId="1720" xr:uid="{2271C9C9-C6E4-485B-8F41-6F81B9C1BD95}"/>
    <cellStyle name="Normal 3 6" xfId="1721" xr:uid="{CE9AC06E-511B-4976-A095-95CF27CE0577}"/>
    <cellStyle name="Normal 3 6 2" xfId="1722" xr:uid="{CA7753C5-FF83-46F5-82C9-B9B5008F25C6}"/>
    <cellStyle name="Normal 3 6 3" xfId="1723" xr:uid="{91EA81E2-3CF2-4793-9447-5378A13BA9B7}"/>
    <cellStyle name="Normal 3 7" xfId="1724" xr:uid="{8FE75BDC-D2D4-49BA-84BF-5A6C15FD45BF}"/>
    <cellStyle name="Normal 3 7 2" xfId="1725" xr:uid="{36AC675E-0BEF-4687-9500-2D87EAAB4D0E}"/>
    <cellStyle name="Normal 3 7 2 2" xfId="1726" xr:uid="{3B4A940C-2AF6-4A15-81CE-0A8AB5AE4413}"/>
    <cellStyle name="Normal 3 7 3" xfId="1727" xr:uid="{D8FEDE9B-6944-4621-B42F-AA043906447E}"/>
    <cellStyle name="Normal 3 7 4" xfId="1728" xr:uid="{F562361C-1778-4D3C-ABA5-958CF663A394}"/>
    <cellStyle name="Normal 3 8" xfId="1729" xr:uid="{1AF9DB9A-0ED5-4A63-BECA-A1CA8B9D250D}"/>
    <cellStyle name="Normal 3 8 2" xfId="1730" xr:uid="{1DA85895-72BC-42CF-87A9-58D7FCAC68FF}"/>
    <cellStyle name="Normal 3 9" xfId="1731" xr:uid="{73066AD8-9221-4962-AB1E-B3196BEAF020}"/>
    <cellStyle name="Normal 33 2" xfId="1732" xr:uid="{6ACD6992-D860-4EE8-BA24-8E951914A50F}"/>
    <cellStyle name="Normal 33 2 2" xfId="1733" xr:uid="{4F2065DA-D3BF-4159-87E8-2F7F5ABCEAD9}"/>
    <cellStyle name="Normal 33 2 2 2" xfId="1734" xr:uid="{E0C9695A-1B5D-437C-9599-6C5E78E6DB80}"/>
    <cellStyle name="Normal 33 2 2 2 2" xfId="1735" xr:uid="{C4F6AD04-B64E-4F32-BD63-8E0FC8429628}"/>
    <cellStyle name="Normal 33 2 2 2 2 2" xfId="1736" xr:uid="{C6F01790-FA27-46FD-87E5-DF0E63C14F77}"/>
    <cellStyle name="Normal 33 2 2 2 3" xfId="1737" xr:uid="{3D36158A-D74A-4C4A-B3D9-AB2B5082929C}"/>
    <cellStyle name="Normal 33 2 2 2 4" xfId="1738" xr:uid="{F931EE3F-43A3-4717-8F05-A589DCD410A4}"/>
    <cellStyle name="Normal 33 2 2 3" xfId="1739" xr:uid="{B31D86B5-DD99-4825-9211-DF50CFA3ACB2}"/>
    <cellStyle name="Normal 33 2 2 3 2" xfId="1740" xr:uid="{B72AEB99-1508-431B-B648-C147073B7C5B}"/>
    <cellStyle name="Normal 33 2 2 4" xfId="1741" xr:uid="{F2C8CF8A-FAF1-4564-A314-D54F39840707}"/>
    <cellStyle name="Normal 33 2 2 5" xfId="1742" xr:uid="{D25EC561-C641-4560-9840-AD5F8D8B22C9}"/>
    <cellStyle name="Normal 33 2 3" xfId="1743" xr:uid="{E88FC712-46C1-4684-B421-155FBFA3CD68}"/>
    <cellStyle name="Normal 33 2 3 2" xfId="1744" xr:uid="{25967B1F-58AA-4F4A-AB80-121708A46766}"/>
    <cellStyle name="Normal 33 2 3 2 2" xfId="1745" xr:uid="{BAFA32B8-EBAB-45A7-B301-401BE4B2D267}"/>
    <cellStyle name="Normal 33 2 3 3" xfId="1746" xr:uid="{55417328-ACAD-4B15-88DC-39791F35A9BC}"/>
    <cellStyle name="Normal 33 2 3 4" xfId="1747" xr:uid="{1866BE5C-C5A4-4D9A-96D8-B67013569F1B}"/>
    <cellStyle name="Normal 33 2 4" xfId="1748" xr:uid="{CA735E9F-7521-4632-8036-5636C51C0253}"/>
    <cellStyle name="Normal 33 2 4 2" xfId="1749" xr:uid="{1D854579-08B8-44BE-80BB-FCA0C2A4D9F9}"/>
    <cellStyle name="Normal 33 2 5" xfId="1750" xr:uid="{F6B5089B-FA72-4040-9098-1FB6C3CF08AE}"/>
    <cellStyle name="Normal 33 2 6" xfId="1751" xr:uid="{808CC963-5953-411A-A6A5-D518A4558671}"/>
    <cellStyle name="Normal 38" xfId="1752" xr:uid="{12F27A0D-A6D8-4071-99EA-B18AD51765EF}"/>
    <cellStyle name="Normal 38 2" xfId="1753" xr:uid="{55FD5DA2-DFDC-44F4-92F3-D16625C243CF}"/>
    <cellStyle name="Normal 38 2 2" xfId="1754" xr:uid="{FEF47ECC-F707-4608-8DC7-92E7F0239607}"/>
    <cellStyle name="Normal 38 2 2 2" xfId="1755" xr:uid="{0B99B99F-52CB-4512-BAB0-35B964304B18}"/>
    <cellStyle name="Normal 38 2 2 2 2" xfId="1756" xr:uid="{FBB0BAF7-29FC-4834-A812-7B265A57AC6A}"/>
    <cellStyle name="Normal 38 2 2 3" xfId="1757" xr:uid="{CD16213C-E444-45FE-9B28-A245ACAA13B6}"/>
    <cellStyle name="Normal 38 2 2 4" xfId="1758" xr:uid="{71F54731-9256-4E1C-977B-C47A0DE04E42}"/>
    <cellStyle name="Normal 38 2 3" xfId="1759" xr:uid="{601D2D35-3D1F-4671-A1BB-FB577CF624F8}"/>
    <cellStyle name="Normal 38 2 3 2" xfId="1760" xr:uid="{A8C6AB93-F8FD-4A62-94DE-83830A4B2665}"/>
    <cellStyle name="Normal 38 2 4" xfId="1761" xr:uid="{DBAC214F-2E5B-476E-96DC-AD9919CFD567}"/>
    <cellStyle name="Normal 38 2 5" xfId="1762" xr:uid="{2ACA9126-B20E-425F-BAA1-EC4F10E8D1E4}"/>
    <cellStyle name="Normal 38 3" xfId="1763" xr:uid="{178E7030-7AA8-47BA-8F5A-D4D4C8929E0C}"/>
    <cellStyle name="Normal 38 3 2" xfId="1764" xr:uid="{FE20E83F-2E8F-46E7-A8B1-44ECA6D2DAFE}"/>
    <cellStyle name="Normal 38 3 2 2" xfId="1765" xr:uid="{9B4EE658-5A50-4FFA-9F6B-C65021148A50}"/>
    <cellStyle name="Normal 38 3 3" xfId="1766" xr:uid="{280584D7-426B-482C-A60F-7693D768EDEE}"/>
    <cellStyle name="Normal 38 3 4" xfId="1767" xr:uid="{A1955F35-E667-441D-B5A7-2B1FC4253E2A}"/>
    <cellStyle name="Normal 38 4" xfId="1768" xr:uid="{F9DF6F3B-97A4-41C1-8254-18BA413FE10D}"/>
    <cellStyle name="Normal 38 4 2" xfId="1769" xr:uid="{5CB023CB-1E7F-4C16-836E-CFEE795F930A}"/>
    <cellStyle name="Normal 38 5" xfId="1770" xr:uid="{06B2EC57-E820-4BD9-940A-6859FF7EDC55}"/>
    <cellStyle name="Normal 38 6" xfId="1771" xr:uid="{104BCD03-6AFF-4C8F-BD84-2FE8515516FA}"/>
    <cellStyle name="Normal 4" xfId="1772" xr:uid="{9EE6BC66-4D2F-4A01-A5CF-33A06D057F55}"/>
    <cellStyle name="Normal 4 2" xfId="1773" xr:uid="{DB739981-9355-4485-AF50-D9477338CC76}"/>
    <cellStyle name="Normal 4 2 2" xfId="1774" xr:uid="{A467F5DF-56F5-4C91-91F1-909E8E31933A}"/>
    <cellStyle name="Normal 4 2 3" xfId="1775" xr:uid="{D010FA53-E068-4011-866E-C3AB22F40663}"/>
    <cellStyle name="Normal 4 2 3 2" xfId="1776" xr:uid="{275C04FC-3D98-40C0-BA54-262FA7D0404C}"/>
    <cellStyle name="Normal 4 2 3 2 2" xfId="1777" xr:uid="{4AAEF497-739A-4F9B-8742-3AFE2C818D25}"/>
    <cellStyle name="Normal 4 2 3 3" xfId="1778" xr:uid="{AF9B54D4-50BB-45A3-8863-E4407436A2E8}"/>
    <cellStyle name="Normal 4 2 3 4" xfId="1779" xr:uid="{F8F9EDB7-6474-4E3B-893A-1B362F7E4267}"/>
    <cellStyle name="Normal 4 2 4" xfId="1780" xr:uid="{86B127D3-8557-4256-A3E5-FF050E1156AE}"/>
    <cellStyle name="Normal 4 2 4 2" xfId="1781" xr:uid="{78CA7A02-A297-40B6-A2F0-F99D48A534E1}"/>
    <cellStyle name="Normal 4 2 5" xfId="1782" xr:uid="{F1AC8F96-CF65-4447-BB76-7D7CF208D109}"/>
    <cellStyle name="Normal 4 2 6" xfId="1783" xr:uid="{9975D17C-4AC2-4306-B740-93233E90A514}"/>
    <cellStyle name="Normal 4 2 7" xfId="1784" xr:uid="{06DADF8A-48C5-4F57-A6AC-CBAB1F4EFB9E}"/>
    <cellStyle name="Normal 4 3" xfId="1785" xr:uid="{F01E2291-05CF-4D62-84FA-DCD61DE68858}"/>
    <cellStyle name="Normal 4 3 2" xfId="1786" xr:uid="{DC00FDF2-5CBC-4C76-9E00-4451EEFD436B}"/>
    <cellStyle name="Normal 4 3 2 2" xfId="1787" xr:uid="{77C7553C-B5D5-4EE2-B028-E4246BB14E4A}"/>
    <cellStyle name="Normal 4 3 2 2 2" xfId="1788" xr:uid="{C7160022-4BFC-4DE8-B82A-EA5973DEEDE1}"/>
    <cellStyle name="Normal 4 3 2 3" xfId="1789" xr:uid="{10D3500C-A142-49A8-8C14-8A673F5B73A0}"/>
    <cellStyle name="Normal 4 3 2 4" xfId="1790" xr:uid="{C0E78BC4-AC91-42B3-8153-A1DCCEAFD3A7}"/>
    <cellStyle name="Normal 4 3 3" xfId="1791" xr:uid="{A5A3E5F4-E285-4718-862E-0F4D6E631A6A}"/>
    <cellStyle name="Normal 4 3 3 2" xfId="1792" xr:uid="{AFEE38DA-5820-4261-B54A-9C11883D1871}"/>
    <cellStyle name="Normal 4 3 4" xfId="1793" xr:uid="{FEDF8183-9D87-4B7F-81CE-8722B3AD7F6E}"/>
    <cellStyle name="Normal 4 3 5" xfId="1794" xr:uid="{95785377-0F02-4094-BB15-EF8B1C318942}"/>
    <cellStyle name="Normal 4 3 6" xfId="1795" xr:uid="{D256585E-5FF7-484F-9B20-0B56505D44D3}"/>
    <cellStyle name="Normal 4 4" xfId="1796" xr:uid="{BF9A6D2E-72BF-4367-9485-D056E5836594}"/>
    <cellStyle name="Normal 4 4 2" xfId="1797" xr:uid="{E08356F6-6C86-44B6-BBEA-15942453F86F}"/>
    <cellStyle name="Normal 4 4 2 2" xfId="1798" xr:uid="{8A7896FB-C054-4E70-8A6C-2A78EC6CB8B7}"/>
    <cellStyle name="Normal 4 4 2 2 2" xfId="1799" xr:uid="{465CB60B-0CE0-4D62-BF01-532F0E82D6E0}"/>
    <cellStyle name="Normal 4 4 2 3" xfId="1800" xr:uid="{BFBDAF2E-0FC2-4878-96A7-15CDCE2CCFB0}"/>
    <cellStyle name="Normal 4 4 2 4" xfId="1801" xr:uid="{695AC6D5-95F6-41AD-AD1F-C081ACD42D5F}"/>
    <cellStyle name="Normal 4 4 3" xfId="1802" xr:uid="{4F4BF96E-0196-4541-A091-C2E7A6267BA9}"/>
    <cellStyle name="Normal 4 4 3 2" xfId="1803" xr:uid="{E84B67FA-A4E3-4BBF-8626-D55B7F46306B}"/>
    <cellStyle name="Normal 4 4 4" xfId="1804" xr:uid="{92F0A3B0-691D-4C0F-97A1-DC8878F17175}"/>
    <cellStyle name="Normal 4 4 5" xfId="1805" xr:uid="{CA516316-3FEC-41F6-A70D-8261C7FB930B}"/>
    <cellStyle name="Normal 4 4 6" xfId="1806" xr:uid="{8A3A1E8B-5DD2-43AD-8B44-0B65B7AAD7FD}"/>
    <cellStyle name="Normal 4 5" xfId="1807" xr:uid="{1A4D90EE-9C47-42A4-86FD-8F794F37A912}"/>
    <cellStyle name="Normal 4 5 2" xfId="1808" xr:uid="{1D82C155-E1EE-4F17-A5DF-548EB5D0986C}"/>
    <cellStyle name="Normal 4 5 2 2" xfId="1809" xr:uid="{2F455A33-C946-42A3-BE07-BC60E08B5113}"/>
    <cellStyle name="Normal 4 5 3" xfId="1810" xr:uid="{51693C4A-E6A5-4C7B-AB48-F2B50EB92B8C}"/>
    <cellStyle name="Normal 4 5 4" xfId="1811" xr:uid="{1CB3C7B7-C4F6-41ED-A5CC-5233C169760F}"/>
    <cellStyle name="Normal 4 6" xfId="1812" xr:uid="{3799420D-88B6-4447-8FEC-C9952C6D12E8}"/>
    <cellStyle name="Normal 4 6 2" xfId="1813" xr:uid="{9724CFEA-C961-4BC3-9DE7-409443A28B0E}"/>
    <cellStyle name="Normal 4 7" xfId="1814" xr:uid="{673C57F1-AFDB-4522-B852-85500D659780}"/>
    <cellStyle name="Normal 4 8" xfId="1815" xr:uid="{A5567005-A81B-4361-AA15-42BC6DB815DD}"/>
    <cellStyle name="Normal 4 9" xfId="1816" xr:uid="{CA0E6043-77D5-40F1-83C1-BF140537DCD7}"/>
    <cellStyle name="Normal 5" xfId="1817" xr:uid="{377EB45D-1213-405D-8B22-A3866A7A46C6}"/>
    <cellStyle name="Normal 5 2" xfId="1818" xr:uid="{7042E3FC-E4F4-4E76-A1E5-FBAE55DCA3BF}"/>
    <cellStyle name="Normal 5 2 2" xfId="1819" xr:uid="{FA4AEEE8-22BE-40B7-A149-19869B391B41}"/>
    <cellStyle name="Normal 5 2 3" xfId="1820" xr:uid="{AF5AD721-745C-42DD-BFAA-3D55109A6EB8}"/>
    <cellStyle name="Normal 5 2 3 2" xfId="1821" xr:uid="{6BB00DE5-C875-45CA-B03A-AEB8F34ACDC0}"/>
    <cellStyle name="Normal 5 2 3 2 2" xfId="1822" xr:uid="{B4B6142B-89ED-47EC-9107-E49E9B0EEADE}"/>
    <cellStyle name="Normal 5 2 3 3" xfId="1823" xr:uid="{1B5A687D-4911-494A-A06B-4246E544AAA3}"/>
    <cellStyle name="Normal 5 2 3 4" xfId="1824" xr:uid="{90E777BC-D661-43FC-A007-CA61DDA7B52A}"/>
    <cellStyle name="Normal 5 2 4" xfId="1825" xr:uid="{179E2DB8-EF0A-43B0-854C-B90B5E0C59E8}"/>
    <cellStyle name="Normal 5 2 4 2" xfId="1826" xr:uid="{045A0A02-D763-41BC-91D8-AB4E61DE8A3D}"/>
    <cellStyle name="Normal 5 2 5" xfId="1827" xr:uid="{D826DB64-4539-40B0-851A-797CDE36B9C3}"/>
    <cellStyle name="Normal 5 2 6" xfId="1828" xr:uid="{A16483A8-F7EA-4061-BDDF-EFA5758500CC}"/>
    <cellStyle name="Normal 5 2 7" xfId="1829" xr:uid="{59B08C7E-B2C5-4E65-9E45-5412C918F3A9}"/>
    <cellStyle name="Normal 5 3" xfId="1830" xr:uid="{E6F1AEBA-4074-44E7-8DB8-B8C985BFC6B9}"/>
    <cellStyle name="Normal 5 3 2" xfId="1831" xr:uid="{44C82A78-584B-4CA4-842C-B58AC61D4D0F}"/>
    <cellStyle name="Normal 5 3 2 2" xfId="1832" xr:uid="{91EB7F43-42EB-4E21-B782-0D99FE124C40}"/>
    <cellStyle name="Normal 5 3 2 2 2" xfId="1833" xr:uid="{BA511685-7164-49AD-BA89-20B8CBF3DB0B}"/>
    <cellStyle name="Normal 5 3 2 3" xfId="1834" xr:uid="{7F4A82CD-353E-4D59-BF9F-5E519E2500C9}"/>
    <cellStyle name="Normal 5 3 2 4" xfId="1835" xr:uid="{FD1C5B85-6B6A-4220-8212-725AD997575B}"/>
    <cellStyle name="Normal 5 3 3" xfId="1836" xr:uid="{7925C01F-526A-4E26-B75F-5840390BE8EE}"/>
    <cellStyle name="Normal 5 3 3 2" xfId="1837" xr:uid="{3B5F58CB-937C-4F9B-814B-7C67DA8147AD}"/>
    <cellStyle name="Normal 5 3 4" xfId="1838" xr:uid="{8E9E143F-7D59-48D8-8A90-06729CFAF9B6}"/>
    <cellStyle name="Normal 5 3 5" xfId="1839" xr:uid="{8B9B4E09-EC3A-413F-8685-01FF7C84E4ED}"/>
    <cellStyle name="Normal 5 4" xfId="1840" xr:uid="{B1E31B1E-A3D1-428C-9EE5-291F1BE84D47}"/>
    <cellStyle name="Normal 5 4 2" xfId="1841" xr:uid="{25DFBABB-5068-4C6B-87AC-2A34A20C2E80}"/>
    <cellStyle name="Normal 5 4 2 2" xfId="1842" xr:uid="{83AED61F-96AB-4ED4-8F22-FBA1EABA966B}"/>
    <cellStyle name="Normal 5 4 3" xfId="1843" xr:uid="{4E6C3138-B8AB-46A9-8231-B17A9588C42F}"/>
    <cellStyle name="Normal 5 4 4" xfId="1844" xr:uid="{1F124127-B200-4A0B-B4CA-08364EA99299}"/>
    <cellStyle name="Normal 5 5" xfId="1845" xr:uid="{5DE950D1-5098-4F60-8DD2-2C219430FC66}"/>
    <cellStyle name="Normal 5 5 2" xfId="1846" xr:uid="{82F2F1BF-8423-4F7A-9BB7-FC7121271CB0}"/>
    <cellStyle name="Normal 5 6" xfId="1847" xr:uid="{6203B036-902C-4A4E-9985-91D179792C19}"/>
    <cellStyle name="Normal 5 7" xfId="1848" xr:uid="{7854EDC2-94C9-4324-A913-4D18819CE636}"/>
    <cellStyle name="Normal 5 8" xfId="1849" xr:uid="{8145D682-2B3E-476C-BCC1-BDF9029C7C8D}"/>
    <cellStyle name="Normal 6" xfId="1850" xr:uid="{D3116A6B-4070-403F-93F4-9D49AE32E1F2}"/>
    <cellStyle name="Normal 6 2" xfId="1851" xr:uid="{4C4ED8AB-D308-4D16-B929-868B8826CF39}"/>
    <cellStyle name="Normal 6 3" xfId="1852" xr:uid="{2C5E887F-38EF-44A0-BB33-E50CF4D3FE5E}"/>
    <cellStyle name="Normal 6 3 2" xfId="1853" xr:uid="{27099F8A-C88F-41A3-BABE-5DCA55DC1D30}"/>
    <cellStyle name="Normal 6 3 2 2" xfId="1854" xr:uid="{3453945C-4397-4275-B6EB-69CF6EDCF439}"/>
    <cellStyle name="Normal 6 3 3" xfId="1855" xr:uid="{4813F153-D693-4B60-A695-D7D98722DA43}"/>
    <cellStyle name="Normal 6 3 4" xfId="1856" xr:uid="{25542B09-5516-487B-A047-51E31D05511D}"/>
    <cellStyle name="Normal 6 4" xfId="1857" xr:uid="{C979E7FE-50EE-4FE0-B378-189DC5183DEF}"/>
    <cellStyle name="Normal 6 4 2" xfId="1858" xr:uid="{1D1C47F6-0969-4E85-8EE6-5A77B09DB965}"/>
    <cellStyle name="Normal 6 5" xfId="1859" xr:uid="{50127360-E5C5-4D77-85DC-48BF9C2F098E}"/>
    <cellStyle name="Normal 6 6" xfId="1860" xr:uid="{F5536723-0AEF-4D78-9172-3681CF37B082}"/>
    <cellStyle name="Normal 6 7" xfId="1861" xr:uid="{025BFA77-139A-4AB2-A03A-60EB8B5122B9}"/>
    <cellStyle name="Normal 7" xfId="1862" xr:uid="{F958356C-D870-4EF1-8629-700EB1407FE1}"/>
    <cellStyle name="Normal 7 2" xfId="1863" xr:uid="{544561F4-EE2A-47AD-A21D-4C6B26DD4932}"/>
    <cellStyle name="Normal 7 3" xfId="1864" xr:uid="{50466473-08A0-47C3-9027-542DA51EFFE3}"/>
    <cellStyle name="Normal 8" xfId="1865" xr:uid="{C2DE27BE-AD1D-4A88-91B8-5AA84AA14DB1}"/>
    <cellStyle name="Normal 8 2" xfId="1866" xr:uid="{491C2839-23C1-44A5-9133-9175983A32BD}"/>
    <cellStyle name="Normal 8 2 2" xfId="1867" xr:uid="{4AC8C9C0-33AE-4347-972F-EF170AC908D7}"/>
    <cellStyle name="Normal 8 2 2 2" xfId="1868" xr:uid="{E02FC1DC-3570-42C8-982D-78C2E7E3741C}"/>
    <cellStyle name="Normal 8 2 2 2 2" xfId="1869" xr:uid="{0BDCC3C9-D345-49A8-BA5F-8F1D72D21E8F}"/>
    <cellStyle name="Normal 8 2 2 3" xfId="1870" xr:uid="{C0BFA855-D87F-42BE-ABD4-60ED7C6E3691}"/>
    <cellStyle name="Normal 8 2 2 4" xfId="1871" xr:uid="{04368636-80E0-44CB-BCB2-4A7BA7B4E5EF}"/>
    <cellStyle name="Normal 8 2 3" xfId="1872" xr:uid="{A324812A-FEDF-4F11-BAE9-7E64D6E7AEC7}"/>
    <cellStyle name="Normal 8 2 3 2" xfId="1873" xr:uid="{6039F4D6-7D3C-4263-AF29-224E8C4A0C50}"/>
    <cellStyle name="Normal 8 2 4" xfId="1874" xr:uid="{D83077D6-76B5-48DD-9054-14138A1BE1E4}"/>
    <cellStyle name="Normal 8 2 5" xfId="1875" xr:uid="{1ADD0FA7-9777-44C4-BD1C-AA33FF6BB802}"/>
    <cellStyle name="Normal 8 3" xfId="1876" xr:uid="{8A4A68EE-D43B-4795-AC53-BF7149A8AB15}"/>
    <cellStyle name="Normal 8 3 2" xfId="1877" xr:uid="{D125C185-B3D2-4053-8F59-60A154271EF3}"/>
    <cellStyle name="Normal 8 3 2 2" xfId="1878" xr:uid="{EBEC6142-267D-4215-8548-2E6D7BA0E061}"/>
    <cellStyle name="Normal 8 3 2 2 2" xfId="1879" xr:uid="{F94881C1-23DD-4F09-8992-3BA1B4823004}"/>
    <cellStyle name="Normal 8 3 2 3" xfId="1880" xr:uid="{FB026872-E564-46B2-9C51-E4A4BF708230}"/>
    <cellStyle name="Normal 8 3 2 4" xfId="1881" xr:uid="{C0C3DF12-EE50-4CB7-BB12-07D3C82497F4}"/>
    <cellStyle name="Normal 8 3 3" xfId="1882" xr:uid="{1F21FBAE-7466-4C49-B68A-EF13AB209226}"/>
    <cellStyle name="Normal 8 3 3 2" xfId="1883" xr:uid="{5D7CB29B-44AF-4EB5-B5FE-0C71D8515EA8}"/>
    <cellStyle name="Normal 8 3 4" xfId="1884" xr:uid="{2DD78DF4-F342-4EF9-AF04-8E575E46DEB3}"/>
    <cellStyle name="Normal 8 3 5" xfId="1885" xr:uid="{0B73ED2A-5454-47A0-999A-0131C8D2F4B5}"/>
    <cellStyle name="Normal 8 4" xfId="1886" xr:uid="{B084DBC7-A701-4C4E-B3F5-9B9AADA4880C}"/>
    <cellStyle name="Normal 8 4 2" xfId="1887" xr:uid="{DD2A9080-1F6F-4BD8-A5CC-A0487287393D}"/>
    <cellStyle name="Normal 8 4 2 2" xfId="1888" xr:uid="{92661258-55AC-45F2-BEAB-2D2EA284C92B}"/>
    <cellStyle name="Normal 8 4 3" xfId="1889" xr:uid="{0E2E3730-5099-40D0-A406-DFCC0C5F251C}"/>
    <cellStyle name="Normal 8 4 4" xfId="1890" xr:uid="{B2ECC3DF-0893-451B-A094-F682FD9CE79C}"/>
    <cellStyle name="Normal 8 5" xfId="1891" xr:uid="{360D137F-9C18-4BBD-8781-A63FAAA63540}"/>
    <cellStyle name="Normal 8 5 2" xfId="1892" xr:uid="{5ECF388F-C84E-4DEE-AF51-498B75F51D69}"/>
    <cellStyle name="Normal 8 6" xfId="1893" xr:uid="{E377A800-3159-4737-811B-5B52585DA884}"/>
    <cellStyle name="Normal 8 7" xfId="1894" xr:uid="{B64D0879-2BCC-4CB0-BE7D-3038BB959009}"/>
    <cellStyle name="Normal 8 8" xfId="1895" xr:uid="{4F279E29-0063-4FA2-AF9C-0864734715D8}"/>
    <cellStyle name="Normal 9" xfId="1896" xr:uid="{5FCC81ED-0D18-4A56-8C5D-0E1A7ECD66E5}"/>
    <cellStyle name="Normal 9 2" xfId="1897" xr:uid="{41BE74A3-7085-48E0-9922-6A2C21D4EE5D}"/>
    <cellStyle name="Normal 9 2 2" xfId="1898" xr:uid="{336D4268-4E00-484B-9FCE-B82AF8174481}"/>
    <cellStyle name="Normal 9 2 2 2" xfId="1899" xr:uid="{C3110C5F-2D03-401B-8C7C-E12698C4AE75}"/>
    <cellStyle name="Normal 9 2 3" xfId="1900" xr:uid="{0690B5B6-0253-490A-86C3-8F44DC5F9F37}"/>
    <cellStyle name="Normal 9 2 4" xfId="1901" xr:uid="{FE5C2B79-A1A5-46FC-ACCE-F8B9C79B95DC}"/>
    <cellStyle name="Normal 9 3" xfId="1902" xr:uid="{AA7D6EF3-7DD8-4EA3-B9EF-DD2FA7209FCB}"/>
    <cellStyle name="Normal 9 3 2" xfId="1903" xr:uid="{38A0C986-C33A-4231-BBE0-6FF4666E8DDD}"/>
    <cellStyle name="Normal 9 4" xfId="1904" xr:uid="{331F343D-F8F9-455B-9159-4F1D3B599214}"/>
    <cellStyle name="Normal 9 5" xfId="1905" xr:uid="{2F828809-AACD-4231-BCEC-3418AFBFC35B}"/>
    <cellStyle name="Percent 2" xfId="1906" xr:uid="{AA93835D-F876-41CF-9B34-54ECD2AD6505}"/>
    <cellStyle name="Percent 2 2" xfId="1907" xr:uid="{897562B5-B293-470B-93CE-CCDD6EB7E38B}"/>
    <cellStyle name="Percent 2 2 2" xfId="1908" xr:uid="{6EF8FFAD-412D-467A-B5F1-9363ACB0EE8A}"/>
    <cellStyle name="Percent 2 2 3" xfId="1909" xr:uid="{70000DA1-9C86-4977-BC2C-7ACD34C0C25B}"/>
    <cellStyle name="Percent 2 3" xfId="1910" xr:uid="{1ED9D63B-B862-496D-BFF8-AA319BF4ECB6}"/>
    <cellStyle name="Percent 2 4" xfId="1911" xr:uid="{C82C7438-6F48-465D-B8BC-C27689712CE5}"/>
    <cellStyle name="Percent 2 5" xfId="1912" xr:uid="{8E13A4E6-F6D9-4BB8-85C3-83A1DC3BBB5A}"/>
    <cellStyle name="Percent 3" xfId="1913" xr:uid="{FF0A409F-0972-4E87-B8AE-5161AD5A6F7C}"/>
    <cellStyle name="Percent 4" xfId="1914" xr:uid="{78BF8D44-E7F4-4501-A8D7-CD3039A0318E}"/>
    <cellStyle name="Percent 4 2" xfId="1915" xr:uid="{8B60DDCB-FF05-4308-A9CD-5700FB691D99}"/>
    <cellStyle name="Percent 4 3" xfId="1916" xr:uid="{477EFD8D-9891-4413-A18B-428619CDF8D3}"/>
    <cellStyle name="Style 1" xfId="1917" xr:uid="{987C607A-6056-4E0F-8C6F-6AC70ED21EE6}"/>
    <cellStyle name="スタイル 1" xfId="1918" xr:uid="{21E9C52E-0F08-462B-AC3C-795D3F612D5B}"/>
    <cellStyle name="スタイル 1 2" xfId="1919" xr:uid="{29ABDD80-262B-4A78-8B0F-257F91DC66AC}"/>
    <cellStyle name="桁区切り [0.00] 2" xfId="1920" xr:uid="{996CA238-0B32-4076-8809-12A76D992025}"/>
    <cellStyle name="桁区切り [0.00] 2 2" xfId="1921" xr:uid="{E31295C9-2E9E-4066-A274-B20D0B805ECC}"/>
    <cellStyle name="桁区切り [0.00] 2 2 2" xfId="1922" xr:uid="{47CB568B-1BAD-4E7B-98AC-D79CBD9AA3FD}"/>
    <cellStyle name="桁区切り [0.00] 2 3" xfId="1923" xr:uid="{68CCF36A-F466-4AE7-A49F-DBF05A49AF70}"/>
    <cellStyle name="桁区切り [0.00] 2 4" xfId="1924" xr:uid="{91FBAA41-E056-4B85-AB74-1C741693CF4D}"/>
    <cellStyle name="桁区切り 2" xfId="1925" xr:uid="{519B8086-0642-4D1D-9C83-6FB62193B0A3}"/>
    <cellStyle name="桁区切り 2 2" xfId="1926" xr:uid="{BBF0354A-C226-4D2E-BA1D-D8CBE12E673B}"/>
    <cellStyle name="桁区切り 2 2 2" xfId="1927" xr:uid="{45FE437E-EBC7-46E1-9F83-A0032649E8ED}"/>
    <cellStyle name="桁区切り 2 2 2 2" xfId="1928" xr:uid="{B3C511A1-92B4-43FF-A5D1-1D0D60961903}"/>
    <cellStyle name="桁区切り 2 2 2 2 2" xfId="1929" xr:uid="{341F2A34-69E3-45C3-BEA2-2E7A74C30A4E}"/>
    <cellStyle name="桁区切り 2 2 2 3" xfId="1930" xr:uid="{DB5CC424-5691-40A2-9C71-6077B8985AE8}"/>
    <cellStyle name="桁区切り 2 2 2 4" xfId="1931" xr:uid="{A0F225E8-4E9C-433F-BB6D-0ACCF132C521}"/>
    <cellStyle name="桁区切り 2 2 2 5" xfId="1932" xr:uid="{8211E1DB-899E-40E5-B723-E3EACF24D44C}"/>
    <cellStyle name="桁区切り 2 2 3" xfId="1933" xr:uid="{36347C02-1404-424B-A58F-080EC8D2F2C7}"/>
    <cellStyle name="桁区切り 2 2 3 2" xfId="1934" xr:uid="{CBEBA4DC-64C4-4C22-9EC6-91DF8DD96CA3}"/>
    <cellStyle name="桁区切り 2 2 4" xfId="1935" xr:uid="{1F4BE7A5-2DA2-40DF-A7A7-69C3628B208D}"/>
    <cellStyle name="桁区切り 2 2 5" xfId="1936" xr:uid="{0E563DB1-619D-48C9-BB0F-C4CF9937FF7B}"/>
    <cellStyle name="桁区切り 2 2 6" xfId="1937" xr:uid="{D4A77E07-DB1B-4785-9354-4584DBBA8A36}"/>
    <cellStyle name="桁区切り 2 3" xfId="1938" xr:uid="{1C4E5B44-FFD9-4151-863B-8BD6E96E801F}"/>
    <cellStyle name="桁区切り 2 3 2" xfId="1939" xr:uid="{B904A844-683D-445B-B9A1-C401F0EC9331}"/>
    <cellStyle name="桁区切り 2 3 2 2" xfId="1940" xr:uid="{025F0145-F54F-4694-93CD-0207F6C8CA46}"/>
    <cellStyle name="桁区切り 2 3 3" xfId="1941" xr:uid="{0E18B94E-60EC-4804-8BC6-C264B2F9CB08}"/>
    <cellStyle name="桁区切り 2 3 4" xfId="1942" xr:uid="{C8A029F9-DCA9-4844-9857-B189F11142C9}"/>
    <cellStyle name="桁区切り 2 3 5" xfId="1943" xr:uid="{C46CAAB9-074B-4470-9F30-102461AD1B16}"/>
    <cellStyle name="桁区切り 2 4" xfId="1944" xr:uid="{EBEC07A8-4493-434C-A9F2-823E9F7B907D}"/>
    <cellStyle name="桁区切り 2 4 2" xfId="1945" xr:uid="{5A461218-2020-4A62-8D1E-0DAF6DE28505}"/>
    <cellStyle name="桁区切り 2 5" xfId="1946" xr:uid="{9C070541-29E0-420E-A0F3-83B475133EC9}"/>
    <cellStyle name="桁区切り 2 6" xfId="1947" xr:uid="{6DFAA7EB-DC22-439E-B58F-DBD85E700E6C}"/>
    <cellStyle name="桁区切り 2 7" xfId="1948" xr:uid="{292207BA-64C6-480B-8A2D-8842EC6136E7}"/>
    <cellStyle name="桁区切り 9" xfId="1949" xr:uid="{EAFB2181-785C-4579-A877-76FB850AB0ED}"/>
    <cellStyle name="桁区切り 9 2" xfId="1950" xr:uid="{E59E0E7B-3463-413C-8B66-E3EFC75F9F36}"/>
    <cellStyle name="桁区切り 9 2 2" xfId="1951" xr:uid="{3F234ECF-1BA9-4335-A705-1B6592A28B85}"/>
    <cellStyle name="桁区切り 9 3" xfId="1952" xr:uid="{D86CA535-727A-4E01-A380-B467E73A3EF9}"/>
    <cellStyle name="桁区切り 9 4" xfId="1953" xr:uid="{F935E600-86AF-405F-8CC8-5D8CF7E116CF}"/>
    <cellStyle name="標準 2" xfId="1954" xr:uid="{C4E1F11B-1B26-4505-839C-8C68CB523F13}"/>
    <cellStyle name="標準 2 2" xfId="1955" xr:uid="{B87ED8F2-855C-4257-9808-61A1FBA6F8E5}"/>
    <cellStyle name="標準 2 3" xfId="1956" xr:uid="{7D5FB5FC-CD28-4603-92F2-C4240B2B8058}"/>
    <cellStyle name="標準 2 3 2" xfId="1957" xr:uid="{BF605FB2-C273-4916-BDCF-C406864C4216}"/>
    <cellStyle name="標準 2 3 2 2" xfId="1958" xr:uid="{C50A4231-B975-41E6-A0D2-B022CBD1C903}"/>
    <cellStyle name="標準 2 3 2 2 2" xfId="1959" xr:uid="{DC292F4C-6AA3-4DFD-8669-A450BDF347C8}"/>
    <cellStyle name="標準 2 3 2 3" xfId="1960" xr:uid="{24C55A83-C4A5-439D-A100-10F7ABE4E6EE}"/>
    <cellStyle name="標準 2 3 2 4" xfId="1961" xr:uid="{F222DE0B-961E-4F6E-9B0C-65CC3FF6C31D}"/>
    <cellStyle name="標準 2 3 3" xfId="1962" xr:uid="{C1881063-2623-4F96-8EA7-F50D8B0583CA}"/>
    <cellStyle name="標準 2 3 3 2" xfId="1963" xr:uid="{8244D097-7889-4703-921D-97AEA60F16C7}"/>
    <cellStyle name="標準 2 3 4" xfId="1964" xr:uid="{C20D8AEB-623B-41CD-B2CE-CB8CF679F11F}"/>
    <cellStyle name="標準 2 3 5" xfId="1965" xr:uid="{CD43B7B2-79A7-44CE-8F26-776660FFFA26}"/>
    <cellStyle name="標準 2 3 6" xfId="1966" xr:uid="{A00B9121-DF03-4F44-9D09-9D65C50BBFDC}"/>
    <cellStyle name="標準 2 4" xfId="1967" xr:uid="{5C4B6BBE-3816-4355-994B-85B466AEA4CA}"/>
    <cellStyle name="標準 3" xfId="1968" xr:uid="{CEF90C4E-BAD4-440B-8E56-72D7054650BE}"/>
    <cellStyle name="標準 3 2" xfId="1969" xr:uid="{79A64F13-9301-4478-9156-17855E69163B}"/>
    <cellStyle name="標準 3 2 2" xfId="1970" xr:uid="{1313246C-E286-41C7-905D-F899B27ACC43}"/>
    <cellStyle name="標準 3 2 2 2" xfId="1971" xr:uid="{A3198A77-2958-4D11-BB18-B6FDB1F8C815}"/>
    <cellStyle name="標準 3 2 3" xfId="1972" xr:uid="{D6FA6E1D-61D3-497E-AA9D-42F1F58F6D1B}"/>
    <cellStyle name="標準 3 2 4" xfId="1973" xr:uid="{8241E46D-07B9-4497-B0FC-18309BEAA4AB}"/>
    <cellStyle name="標準 3 3" xfId="1974" xr:uid="{882EBFB9-25EE-487E-845E-119670EDA168}"/>
    <cellStyle name="標準 3 3 2" xfId="1975" xr:uid="{F9672936-139F-49FB-BF11-2BFC4D56167B}"/>
    <cellStyle name="標準 3 4" xfId="1976" xr:uid="{0AE92A50-1344-4333-A76A-FA733E27EEF3}"/>
    <cellStyle name="標準 3 5" xfId="1977" xr:uid="{5BF01236-AD74-4B39-9B80-0CE4D617A5F2}"/>
    <cellStyle name="標準 3 6" xfId="1978" xr:uid="{31A5A786-B857-4091-8289-C3F0F1A89014}"/>
  </cellStyles>
  <dxfs count="55">
    <dxf>
      <font>
        <color rgb="FF9C0006"/>
      </font>
      <fill>
        <patternFill>
          <bgColor rgb="FFFFC7CE"/>
        </patternFill>
      </fill>
    </dxf>
    <dxf>
      <border diagonalUp="0" diagonalDown="0" outline="0">
        <left style="thin">
          <color indexed="64"/>
        </left>
        <right/>
        <top style="thin">
          <color indexed="64"/>
        </top>
        <bottom/>
      </border>
    </dxf>
    <dxf>
      <border diagonalUp="0" diagonalDown="0">
        <left style="thin">
          <color indexed="64"/>
        </left>
        <right/>
        <top style="thin">
          <color indexed="64"/>
        </top>
        <bottom style="thin">
          <color indexed="64"/>
        </bottom>
        <vertical/>
        <horizontal/>
      </border>
    </dxf>
    <dxf>
      <numFmt numFmtId="164" formatCode="&quot;₹&quot;\ #,##0.00"/>
      <border diagonalUp="0" diagonalDown="0" outline="0">
        <left style="thin">
          <color indexed="64"/>
        </left>
        <right style="thin">
          <color indexed="64"/>
        </right>
        <top style="thin">
          <color indexed="64"/>
        </top>
        <bottom/>
      </border>
    </dxf>
    <dxf>
      <border diagonalUp="0" diagonalDown="0">
        <left style="thin">
          <color indexed="64"/>
        </left>
        <right style="thin">
          <color indexed="64"/>
        </right>
        <top style="thin">
          <color indexed="64"/>
        </top>
        <bottom style="thin">
          <color indexed="64"/>
        </bottom>
        <vertical/>
        <horizontal/>
      </border>
    </dxf>
    <dxf>
      <numFmt numFmtId="164" formatCode="&quot;₹&quot;\ #,##0.00"/>
      <border diagonalUp="0" diagonalDown="0" outline="0">
        <left style="thin">
          <color indexed="64"/>
        </left>
        <right style="thin">
          <color indexed="64"/>
        </right>
        <top style="thin">
          <color indexed="64"/>
        </top>
        <bottom/>
      </border>
    </dxf>
    <dxf>
      <numFmt numFmtId="164" formatCode="&quot;₹&quot;\ #,##0.00"/>
      <border diagonalUp="0" diagonalDown="0">
        <left style="thin">
          <color indexed="64"/>
        </left>
        <right style="thin">
          <color indexed="64"/>
        </right>
        <top style="thin">
          <color indexed="64"/>
        </top>
        <bottom style="thin">
          <color indexed="64"/>
        </bottom>
        <vertical/>
        <horizontal/>
      </border>
    </dxf>
    <dxf>
      <numFmt numFmtId="164" formatCode="&quot;₹&quot;\ #,##0.00"/>
      <border diagonalUp="0" diagonalDown="0" outline="0">
        <left style="thin">
          <color indexed="64"/>
        </left>
        <right style="thin">
          <color indexed="64"/>
        </right>
        <top style="thin">
          <color indexed="64"/>
        </top>
        <bottom/>
      </border>
    </dxf>
    <dxf>
      <numFmt numFmtId="164" formatCode="&quot;₹&quot;\ #,##0.00"/>
      <border diagonalUp="0" diagonalDown="0">
        <left style="thin">
          <color indexed="64"/>
        </left>
        <right style="thin">
          <color indexed="64"/>
        </right>
        <top style="thin">
          <color indexed="64"/>
        </top>
        <bottom style="thin">
          <color indexed="64"/>
        </bottom>
        <vertical/>
        <horizontal/>
      </border>
    </dxf>
    <dxf>
      <numFmt numFmtId="164" formatCode="&quot;₹&quot;\ #,##0.00"/>
      <border diagonalUp="0" diagonalDown="0" outline="0">
        <left style="thin">
          <color indexed="64"/>
        </left>
        <right style="thin">
          <color indexed="64"/>
        </right>
        <top style="thin">
          <color indexed="64"/>
        </top>
        <bottom/>
      </border>
    </dxf>
    <dxf>
      <numFmt numFmtId="164" formatCode="&quot;₹&quot;\ #,##0.00"/>
      <border diagonalUp="0" diagonalDown="0">
        <left style="thin">
          <color indexed="64"/>
        </left>
        <right style="thin">
          <color indexed="64"/>
        </right>
        <top style="thin">
          <color indexed="64"/>
        </top>
        <bottom style="thin">
          <color indexed="64"/>
        </bottom>
        <vertical/>
        <horizontal/>
      </border>
    </dxf>
    <dxf>
      <numFmt numFmtId="164" formatCode="&quot;₹&quot;\ #,##0.00"/>
      <border diagonalUp="0" diagonalDown="0" outline="0">
        <left style="thin">
          <color indexed="64"/>
        </left>
        <right style="thin">
          <color indexed="64"/>
        </right>
        <top style="thin">
          <color indexed="64"/>
        </top>
        <bottom/>
      </border>
    </dxf>
    <dxf>
      <numFmt numFmtId="164" formatCode="&quot;₹&quot;\ #,##0.00"/>
      <border diagonalUp="0" diagonalDown="0">
        <left style="thin">
          <color indexed="64"/>
        </left>
        <right style="thin">
          <color indexed="64"/>
        </right>
        <top style="thin">
          <color indexed="64"/>
        </top>
        <bottom style="thin">
          <color indexed="64"/>
        </bottom>
        <vertical/>
        <horizontal/>
      </border>
    </dxf>
    <dxf>
      <numFmt numFmtId="164" formatCode="&quot;₹&quot;\ #,##0.00"/>
      <border diagonalUp="0" diagonalDown="0" outline="0">
        <left style="thin">
          <color indexed="64"/>
        </left>
        <right style="thin">
          <color indexed="64"/>
        </right>
        <top style="thin">
          <color indexed="64"/>
        </top>
        <bottom/>
      </border>
    </dxf>
    <dxf>
      <numFmt numFmtId="164" formatCode="&quot;₹&quot;\ #,##0.00"/>
      <border diagonalUp="0" diagonalDown="0">
        <left style="thin">
          <color indexed="64"/>
        </left>
        <right style="thin">
          <color indexed="64"/>
        </right>
        <top style="thin">
          <color indexed="64"/>
        </top>
        <bottom style="thin">
          <color indexed="64"/>
        </bottom>
        <vertical/>
        <horizontal/>
      </border>
    </dxf>
    <dxf>
      <numFmt numFmtId="164" formatCode="&quot;₹&quot;\ #,##0.00"/>
      <border diagonalUp="0" diagonalDown="0" outline="0">
        <left style="thin">
          <color indexed="64"/>
        </left>
        <right style="thin">
          <color indexed="64"/>
        </right>
        <top style="thin">
          <color indexed="64"/>
        </top>
        <bottom/>
      </border>
    </dxf>
    <dxf>
      <numFmt numFmtId="164" formatCode="&quot;₹&quot;\ #,##0.00"/>
      <border diagonalUp="0" diagonalDown="0">
        <left style="thin">
          <color indexed="64"/>
        </left>
        <right style="thin">
          <color indexed="64"/>
        </right>
        <top style="thin">
          <color indexed="64"/>
        </top>
        <bottom style="thin">
          <color indexed="64"/>
        </bottom>
        <vertical/>
        <horizontal/>
      </border>
    </dxf>
    <dxf>
      <numFmt numFmtId="164" formatCode="&quot;₹&quot;\ #,##0.00"/>
      <border diagonalUp="0" diagonalDown="0" outline="0">
        <left style="thin">
          <color indexed="64"/>
        </left>
        <right style="thin">
          <color indexed="64"/>
        </right>
        <top style="thin">
          <color indexed="64"/>
        </top>
        <bottom/>
      </border>
    </dxf>
    <dxf>
      <numFmt numFmtId="164" formatCode="&quot;₹&quot;\ #,##0.00"/>
      <border diagonalUp="0" diagonalDown="0">
        <left style="thin">
          <color indexed="64"/>
        </left>
        <right style="thin">
          <color indexed="64"/>
        </right>
        <top style="thin">
          <color indexed="64"/>
        </top>
        <bottom style="thin">
          <color indexed="64"/>
        </bottom>
        <vertical/>
        <horizontal/>
      </border>
    </dxf>
    <dxf>
      <numFmt numFmtId="164" formatCode="&quot;₹&quot;\ #,##0.00"/>
      <border diagonalUp="0" diagonalDown="0" outline="0">
        <left style="thin">
          <color indexed="64"/>
        </left>
        <right style="thin">
          <color indexed="64"/>
        </right>
        <top style="thin">
          <color indexed="64"/>
        </top>
        <bottom/>
      </border>
    </dxf>
    <dxf>
      <border diagonalUp="0" diagonalDown="0">
        <left style="thin">
          <color indexed="64"/>
        </left>
        <right style="thin">
          <color indexed="64"/>
        </right>
        <top style="thin">
          <color indexed="64"/>
        </top>
        <bottom style="thin">
          <color indexed="64"/>
        </bottom>
        <vertical/>
        <horizontal/>
      </border>
    </dxf>
    <dxf>
      <numFmt numFmtId="164" formatCode="&quot;₹&quot;\ #,##0.00"/>
      <border diagonalUp="0" diagonalDown="0" outline="0">
        <left style="thin">
          <color indexed="64"/>
        </left>
        <right style="thin">
          <color indexed="64"/>
        </right>
        <top style="thin">
          <color indexed="64"/>
        </top>
        <bottom/>
      </border>
    </dxf>
    <dxf>
      <numFmt numFmtId="164" formatCode="&quot;₹&quot;\ #,##0.00"/>
      <border diagonalUp="0" diagonalDown="0">
        <left style="thin">
          <color indexed="64"/>
        </left>
        <right style="thin">
          <color indexed="64"/>
        </right>
        <top style="thin">
          <color indexed="64"/>
        </top>
        <bottom style="thin">
          <color indexed="64"/>
        </bottom>
        <vertical/>
        <horizontal/>
      </border>
    </dxf>
    <dxf>
      <numFmt numFmtId="0" formatCode="General"/>
      <border diagonalUp="0" diagonalDown="0" outline="0">
        <left style="thin">
          <color indexed="64"/>
        </left>
        <right style="thin">
          <color indexed="64"/>
        </right>
        <top style="thin">
          <color indexed="64"/>
        </top>
        <bottom/>
      </border>
    </dxf>
    <dxf>
      <numFmt numFmtId="0" formatCode="General"/>
      <border diagonalUp="0" diagonalDown="0">
        <left style="thin">
          <color indexed="64"/>
        </left>
        <right style="thin">
          <color indexed="64"/>
        </right>
        <top style="thin">
          <color indexed="64"/>
        </top>
        <bottom style="thin">
          <color indexed="64"/>
        </bottom>
        <vertical/>
        <horizontal/>
      </border>
    </dxf>
    <dxf>
      <numFmt numFmtId="0" formatCode="General"/>
      <border diagonalUp="0" diagonalDown="0" outline="0">
        <left style="thin">
          <color indexed="64"/>
        </left>
        <right style="thin">
          <color indexed="64"/>
        </right>
        <top style="thin">
          <color indexed="64"/>
        </top>
        <bottom/>
      </border>
    </dxf>
    <dxf>
      <numFmt numFmtId="0" formatCode="Genera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4"/>
        <color theme="1"/>
        <name val="Amasis MT Pro"/>
        <family val="1"/>
        <scheme val="none"/>
      </font>
      <numFmt numFmtId="0" formatCode="General"/>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4"/>
        <color theme="1"/>
        <name val="Amasis MT Pro"/>
        <family val="1"/>
        <scheme val="none"/>
      </font>
      <numFmt numFmtId="0" formatCode="Genera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4"/>
        <color theme="1"/>
        <name val="Amasis MT Pro"/>
        <family val="1"/>
        <scheme val="none"/>
      </font>
      <numFmt numFmtId="0" formatCode="General"/>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4"/>
        <color theme="1"/>
        <name val="Amasis MT Pro"/>
        <family val="1"/>
        <scheme val="none"/>
      </font>
      <numFmt numFmtId="0" formatCode="Genera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4"/>
        <color theme="1"/>
        <name val="Amasis MT Pro"/>
        <family val="1"/>
        <scheme val="none"/>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4"/>
        <color theme="1"/>
        <name val="Amasis MT Pro"/>
        <family val="1"/>
        <scheme val="none"/>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4"/>
        <color theme="1"/>
        <name val="Amasis MT Pro"/>
        <family val="1"/>
        <scheme val="none"/>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4"/>
        <color theme="1"/>
        <name val="Amasis MT Pro"/>
        <family val="1"/>
        <scheme val="none"/>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4"/>
        <color theme="1"/>
        <name val="Amasis MT Pro"/>
        <family val="1"/>
        <scheme val="none"/>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4"/>
        <color theme="1"/>
        <name val="Amasis MT Pro"/>
        <family val="1"/>
        <scheme val="none"/>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4"/>
        <color theme="1"/>
        <name val="Amasis MT Pro"/>
        <family val="1"/>
        <scheme val="none"/>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4"/>
        <color theme="1"/>
        <name val="Amasis MT Pro"/>
        <family val="1"/>
        <scheme val="none"/>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4"/>
        <color theme="1"/>
        <name val="Amasis MT Pro"/>
        <family val="1"/>
        <scheme val="none"/>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4"/>
        <color theme="1"/>
        <name val="Amasis MT Pro"/>
        <family val="1"/>
        <scheme val="none"/>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4"/>
        <color theme="1"/>
        <name val="Amasis MT Pro"/>
        <family val="1"/>
        <scheme val="none"/>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4"/>
        <color theme="1"/>
        <name val="Amasis MT Pro"/>
        <family val="1"/>
        <scheme val="none"/>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4"/>
        <color theme="1"/>
        <name val="Amasis MT Pro"/>
        <family val="1"/>
        <scheme val="none"/>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4"/>
        <color theme="1"/>
        <name val="Amasis MT Pro"/>
        <family val="1"/>
        <scheme val="none"/>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4"/>
        <color theme="1"/>
        <name val="Amasis MT Pro"/>
        <family val="1"/>
        <scheme val="none"/>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4"/>
        <color theme="1"/>
        <name val="Amasis MT Pro"/>
        <family val="1"/>
        <scheme val="none"/>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4"/>
        <color theme="1"/>
        <name val="Amasis MT Pro"/>
        <family val="1"/>
        <scheme val="none"/>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4"/>
        <color theme="1"/>
        <name val="Amasis MT Pro"/>
        <family val="1"/>
        <scheme val="none"/>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outline="0">
        <left/>
        <right style="thin">
          <color indexed="64"/>
        </right>
        <top style="thin">
          <color indexed="64"/>
        </top>
        <bottom/>
      </border>
    </dxf>
    <dxf>
      <alignment horizontal="center" vertical="bottom" textRotation="0" wrapText="0"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4"/>
        <color theme="5" tint="-0.249977111117893"/>
        <name val="Aptos Narrow"/>
        <family val="2"/>
        <scheme val="minor"/>
      </font>
      <alignment horizontal="center" vertical="bottom"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3.xml"/><Relationship Id="rId13" Type="http://schemas.microsoft.com/office/2007/relationships/slicerCache" Target="slicerCaches/slicerCache4.xml"/><Relationship Id="rId18" Type="http://schemas.microsoft.com/office/2007/relationships/slicerCache" Target="slicerCaches/slicerCache9.xml"/><Relationship Id="rId26" Type="http://schemas.openxmlformats.org/officeDocument/2006/relationships/calcChain" Target="calcChain.xml"/><Relationship Id="rId3" Type="http://schemas.openxmlformats.org/officeDocument/2006/relationships/worksheet" Target="worksheets/sheet3.xml"/><Relationship Id="rId21" Type="http://schemas.microsoft.com/office/2007/relationships/slicerCache" Target="slicerCaches/slicerCache12.xml"/><Relationship Id="rId7" Type="http://schemas.openxmlformats.org/officeDocument/2006/relationships/externalLink" Target="externalLinks/externalLink2.xml"/><Relationship Id="rId12" Type="http://schemas.microsoft.com/office/2007/relationships/slicerCache" Target="slicerCaches/slicerCache3.xml"/><Relationship Id="rId17" Type="http://schemas.microsoft.com/office/2007/relationships/slicerCache" Target="slicerCaches/slicerCache8.xml"/><Relationship Id="rId25" Type="http://schemas.openxmlformats.org/officeDocument/2006/relationships/sharedStrings" Target="sharedStrings.xml"/><Relationship Id="rId2" Type="http://schemas.openxmlformats.org/officeDocument/2006/relationships/worksheet" Target="worksheets/sheet2.xml"/><Relationship Id="rId16" Type="http://schemas.microsoft.com/office/2007/relationships/slicerCache" Target="slicerCaches/slicerCache7.xml"/><Relationship Id="rId20" Type="http://schemas.microsoft.com/office/2007/relationships/slicerCache" Target="slicerCaches/slicerCache11.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microsoft.com/office/2007/relationships/slicerCache" Target="slicerCaches/slicerCache2.xml"/><Relationship Id="rId24" Type="http://schemas.openxmlformats.org/officeDocument/2006/relationships/styles" Target="styles.xml"/><Relationship Id="rId5" Type="http://schemas.openxmlformats.org/officeDocument/2006/relationships/worksheet" Target="worksheets/sheet5.xml"/><Relationship Id="rId15" Type="http://schemas.microsoft.com/office/2007/relationships/slicerCache" Target="slicerCaches/slicerCache6.xml"/><Relationship Id="rId23" Type="http://schemas.openxmlformats.org/officeDocument/2006/relationships/theme" Target="theme/theme1.xml"/><Relationship Id="rId10" Type="http://schemas.microsoft.com/office/2007/relationships/slicerCache" Target="slicerCaches/slicerCache1.xml"/><Relationship Id="rId19" Type="http://schemas.microsoft.com/office/2007/relationships/slicerCache" Target="slicerCaches/slicerCache10.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microsoft.com/office/2007/relationships/slicerCache" Target="slicerCaches/slicerCache5.xml"/><Relationship Id="rId22" Type="http://schemas.microsoft.com/office/2007/relationships/slicerCache" Target="slicerCaches/slicerCache1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[MIS SHEET-JULY-26.xlsx]Report -1 !PivotTable3</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'Report -1 '!$B$1</c:f>
              <c:strCache>
                <c:ptCount val="1"/>
                <c:pt idx="0">
                  <c:v>NET PROFIT AMT</c:v>
                </c:pt>
              </c:strCache>
            </c:strRef>
          </c:tx>
          <c:spPr>
            <a:solidFill>
              <a:schemeClr val="accent1"/>
            </a:solidFill>
            <a:ln>
              <a:noFill/>
            </a:ln>
            <a:effectLst/>
          </c:spPr>
          <c:invertIfNegative val="0"/>
          <c:cat>
            <c:strRef>
              <c:f>'Report -1 '!$A$2:$A$46</c:f>
              <c:strCache>
                <c:ptCount val="44"/>
                <c:pt idx="0">
                  <c:v>HR 26 FZ 8882</c:v>
                </c:pt>
                <c:pt idx="1">
                  <c:v>HR 55 AX 1428</c:v>
                </c:pt>
                <c:pt idx="2">
                  <c:v>HR 55 AX 4866</c:v>
                </c:pt>
                <c:pt idx="3">
                  <c:v>HR 55 BA 3898</c:v>
                </c:pt>
                <c:pt idx="4">
                  <c:v>HR 55 BB 4206</c:v>
                </c:pt>
                <c:pt idx="5">
                  <c:v>HR 55 BD 8299</c:v>
                </c:pt>
                <c:pt idx="6">
                  <c:v>HR 55AG 1451</c:v>
                </c:pt>
                <c:pt idx="7">
                  <c:v>HR 55AG 3526</c:v>
                </c:pt>
                <c:pt idx="8">
                  <c:v>HR 55AG 5093</c:v>
                </c:pt>
                <c:pt idx="9">
                  <c:v>HR 55AH 8939</c:v>
                </c:pt>
                <c:pt idx="10">
                  <c:v>HR 55AH1982</c:v>
                </c:pt>
                <c:pt idx="11">
                  <c:v>HR 55AX 1194</c:v>
                </c:pt>
                <c:pt idx="12">
                  <c:v>HR 55BC 1637</c:v>
                </c:pt>
                <c:pt idx="13">
                  <c:v>HR 66 C 0944</c:v>
                </c:pt>
                <c:pt idx="14">
                  <c:v>HR 66 C 2373</c:v>
                </c:pt>
                <c:pt idx="15">
                  <c:v>HR 66 C 2856</c:v>
                </c:pt>
                <c:pt idx="16">
                  <c:v>HR 66C 0292</c:v>
                </c:pt>
                <c:pt idx="17">
                  <c:v>HR 66C 2987</c:v>
                </c:pt>
                <c:pt idx="18">
                  <c:v>HR 66D 1538</c:v>
                </c:pt>
                <c:pt idx="19">
                  <c:v>HR26 EW 5895</c:v>
                </c:pt>
                <c:pt idx="20">
                  <c:v>HR-26FB-7616</c:v>
                </c:pt>
                <c:pt idx="21">
                  <c:v>HR47E 9469</c:v>
                </c:pt>
                <c:pt idx="22">
                  <c:v>HR-47F-1040</c:v>
                </c:pt>
                <c:pt idx="23">
                  <c:v>HR-47F-5680</c:v>
                </c:pt>
                <c:pt idx="24">
                  <c:v>HR-55AB-0471</c:v>
                </c:pt>
                <c:pt idx="25">
                  <c:v>HR-55AC-2477</c:v>
                </c:pt>
                <c:pt idx="26">
                  <c:v>HR-55AC-8668</c:v>
                </c:pt>
                <c:pt idx="27">
                  <c:v>HR-55AF-5134</c:v>
                </c:pt>
                <c:pt idx="28">
                  <c:v>HR-55AG-4440</c:v>
                </c:pt>
                <c:pt idx="29">
                  <c:v>HR-55AH-3603</c:v>
                </c:pt>
                <c:pt idx="30">
                  <c:v>HR-55AK-5787</c:v>
                </c:pt>
                <c:pt idx="31">
                  <c:v>HR-55AL-1846</c:v>
                </c:pt>
                <c:pt idx="32">
                  <c:v>HR-55-AL-5921</c:v>
                </c:pt>
                <c:pt idx="33">
                  <c:v>HR55AL8495</c:v>
                </c:pt>
                <c:pt idx="34">
                  <c:v>HR-55AR-1096</c:v>
                </c:pt>
                <c:pt idx="35">
                  <c:v>HR55AZ 3560</c:v>
                </c:pt>
                <c:pt idx="36">
                  <c:v>HR55AZ3356</c:v>
                </c:pt>
                <c:pt idx="37">
                  <c:v>HR-66B-4572</c:v>
                </c:pt>
                <c:pt idx="38">
                  <c:v>HR-66C-8938</c:v>
                </c:pt>
                <c:pt idx="39">
                  <c:v>ONLY DRIVER- SU</c:v>
                </c:pt>
                <c:pt idx="40">
                  <c:v>ONLY DRIVER-CH</c:v>
                </c:pt>
                <c:pt idx="41">
                  <c:v>ONLY DRIVER-DAL</c:v>
                </c:pt>
                <c:pt idx="42">
                  <c:v>ONLY DRIVER-DI</c:v>
                </c:pt>
                <c:pt idx="43">
                  <c:v>UK03TA2522</c:v>
                </c:pt>
              </c:strCache>
            </c:strRef>
          </c:cat>
          <c:val>
            <c:numRef>
              <c:f>'Report -1 '!$B$2:$B$46</c:f>
              <c:numCache>
                <c:formatCode>General</c:formatCode>
                <c:ptCount val="44"/>
                <c:pt idx="0">
                  <c:v>16305.569999999992</c:v>
                </c:pt>
                <c:pt idx="1">
                  <c:v>21788.73000000001</c:v>
                </c:pt>
                <c:pt idx="2">
                  <c:v>11627.783333333326</c:v>
                </c:pt>
                <c:pt idx="3">
                  <c:v>7329.5552000000025</c:v>
                </c:pt>
                <c:pt idx="4">
                  <c:v>76965.236666666693</c:v>
                </c:pt>
                <c:pt idx="5">
                  <c:v>16585.740000000005</c:v>
                </c:pt>
                <c:pt idx="6">
                  <c:v>67855.610799999995</c:v>
                </c:pt>
                <c:pt idx="7">
                  <c:v>13748.226666666669</c:v>
                </c:pt>
                <c:pt idx="8">
                  <c:v>7431.9799999999959</c:v>
                </c:pt>
                <c:pt idx="10">
                  <c:v>120097.80999999998</c:v>
                </c:pt>
                <c:pt idx="11">
                  <c:v>13170.886666666673</c:v>
                </c:pt>
                <c:pt idx="13">
                  <c:v>32024.78</c:v>
                </c:pt>
                <c:pt idx="14">
                  <c:v>16554.700000000012</c:v>
                </c:pt>
                <c:pt idx="15">
                  <c:v>55313.200000000012</c:v>
                </c:pt>
                <c:pt idx="16">
                  <c:v>41331.699999999997</c:v>
                </c:pt>
                <c:pt idx="17">
                  <c:v>29639.283333333326</c:v>
                </c:pt>
                <c:pt idx="18">
                  <c:v>15756.199999999997</c:v>
                </c:pt>
                <c:pt idx="19">
                  <c:v>10816.25</c:v>
                </c:pt>
                <c:pt idx="20">
                  <c:v>7272.6999999999971</c:v>
                </c:pt>
                <c:pt idx="21">
                  <c:v>23582.329999999987</c:v>
                </c:pt>
                <c:pt idx="22">
                  <c:v>1029.8999999999942</c:v>
                </c:pt>
                <c:pt idx="23">
                  <c:v>15762.370000000024</c:v>
                </c:pt>
                <c:pt idx="24">
                  <c:v>55932.206666666636</c:v>
                </c:pt>
                <c:pt idx="26">
                  <c:v>118845.50333333333</c:v>
                </c:pt>
                <c:pt idx="27">
                  <c:v>114471.29333333333</c:v>
                </c:pt>
                <c:pt idx="28">
                  <c:v>78518.723333333328</c:v>
                </c:pt>
                <c:pt idx="30">
                  <c:v>35610.5</c:v>
                </c:pt>
                <c:pt idx="31">
                  <c:v>22224</c:v>
                </c:pt>
                <c:pt idx="32">
                  <c:v>27397.950000000012</c:v>
                </c:pt>
                <c:pt idx="33">
                  <c:v>33890.542799999996</c:v>
                </c:pt>
                <c:pt idx="34">
                  <c:v>44367.156666666662</c:v>
                </c:pt>
                <c:pt idx="35">
                  <c:v>24795.643333333312</c:v>
                </c:pt>
                <c:pt idx="36">
                  <c:v>20305.616666666669</c:v>
                </c:pt>
                <c:pt idx="37">
                  <c:v>85991.273333333316</c:v>
                </c:pt>
                <c:pt idx="39">
                  <c:v>6944.0808666666635</c:v>
                </c:pt>
                <c:pt idx="40">
                  <c:v>11038.766666666663</c:v>
                </c:pt>
                <c:pt idx="41">
                  <c:v>4918.6999999999971</c:v>
                </c:pt>
                <c:pt idx="42">
                  <c:v>12425.449999999997</c:v>
                </c:pt>
                <c:pt idx="43">
                  <c:v>83846.03</c:v>
                </c:pt>
              </c:numCache>
            </c:numRef>
          </c:val>
          <c:extLst>
            <c:ext xmlns:c16="http://schemas.microsoft.com/office/drawing/2014/chart" uri="{C3380CC4-5D6E-409C-BE32-E72D297353CC}">
              <c16:uniqueId val="{00000000-3C3D-4288-B321-B41E01D3A882}"/>
            </c:ext>
          </c:extLst>
        </c:ser>
        <c:ser>
          <c:idx val="1"/>
          <c:order val="1"/>
          <c:tx>
            <c:strRef>
              <c:f>'Report -1 '!$C$1</c:f>
              <c:strCache>
                <c:ptCount val="1"/>
                <c:pt idx="0">
                  <c:v>NET LOSS AMT.</c:v>
                </c:pt>
              </c:strCache>
            </c:strRef>
          </c:tx>
          <c:spPr>
            <a:solidFill>
              <a:schemeClr val="accent2"/>
            </a:solidFill>
            <a:ln>
              <a:noFill/>
            </a:ln>
            <a:effectLst/>
          </c:spPr>
          <c:invertIfNegative val="0"/>
          <c:cat>
            <c:strRef>
              <c:f>'Report -1 '!$A$2:$A$46</c:f>
              <c:strCache>
                <c:ptCount val="44"/>
                <c:pt idx="0">
                  <c:v>HR 26 FZ 8882</c:v>
                </c:pt>
                <c:pt idx="1">
                  <c:v>HR 55 AX 1428</c:v>
                </c:pt>
                <c:pt idx="2">
                  <c:v>HR 55 AX 4866</c:v>
                </c:pt>
                <c:pt idx="3">
                  <c:v>HR 55 BA 3898</c:v>
                </c:pt>
                <c:pt idx="4">
                  <c:v>HR 55 BB 4206</c:v>
                </c:pt>
                <c:pt idx="5">
                  <c:v>HR 55 BD 8299</c:v>
                </c:pt>
                <c:pt idx="6">
                  <c:v>HR 55AG 1451</c:v>
                </c:pt>
                <c:pt idx="7">
                  <c:v>HR 55AG 3526</c:v>
                </c:pt>
                <c:pt idx="8">
                  <c:v>HR 55AG 5093</c:v>
                </c:pt>
                <c:pt idx="9">
                  <c:v>HR 55AH 8939</c:v>
                </c:pt>
                <c:pt idx="10">
                  <c:v>HR 55AH1982</c:v>
                </c:pt>
                <c:pt idx="11">
                  <c:v>HR 55AX 1194</c:v>
                </c:pt>
                <c:pt idx="12">
                  <c:v>HR 55BC 1637</c:v>
                </c:pt>
                <c:pt idx="13">
                  <c:v>HR 66 C 0944</c:v>
                </c:pt>
                <c:pt idx="14">
                  <c:v>HR 66 C 2373</c:v>
                </c:pt>
                <c:pt idx="15">
                  <c:v>HR 66 C 2856</c:v>
                </c:pt>
                <c:pt idx="16">
                  <c:v>HR 66C 0292</c:v>
                </c:pt>
                <c:pt idx="17">
                  <c:v>HR 66C 2987</c:v>
                </c:pt>
                <c:pt idx="18">
                  <c:v>HR 66D 1538</c:v>
                </c:pt>
                <c:pt idx="19">
                  <c:v>HR26 EW 5895</c:v>
                </c:pt>
                <c:pt idx="20">
                  <c:v>HR-26FB-7616</c:v>
                </c:pt>
                <c:pt idx="21">
                  <c:v>HR47E 9469</c:v>
                </c:pt>
                <c:pt idx="22">
                  <c:v>HR-47F-1040</c:v>
                </c:pt>
                <c:pt idx="23">
                  <c:v>HR-47F-5680</c:v>
                </c:pt>
                <c:pt idx="24">
                  <c:v>HR-55AB-0471</c:v>
                </c:pt>
                <c:pt idx="25">
                  <c:v>HR-55AC-2477</c:v>
                </c:pt>
                <c:pt idx="26">
                  <c:v>HR-55AC-8668</c:v>
                </c:pt>
                <c:pt idx="27">
                  <c:v>HR-55AF-5134</c:v>
                </c:pt>
                <c:pt idx="28">
                  <c:v>HR-55AG-4440</c:v>
                </c:pt>
                <c:pt idx="29">
                  <c:v>HR-55AH-3603</c:v>
                </c:pt>
                <c:pt idx="30">
                  <c:v>HR-55AK-5787</c:v>
                </c:pt>
                <c:pt idx="31">
                  <c:v>HR-55AL-1846</c:v>
                </c:pt>
                <c:pt idx="32">
                  <c:v>HR-55-AL-5921</c:v>
                </c:pt>
                <c:pt idx="33">
                  <c:v>HR55AL8495</c:v>
                </c:pt>
                <c:pt idx="34">
                  <c:v>HR-55AR-1096</c:v>
                </c:pt>
                <c:pt idx="35">
                  <c:v>HR55AZ 3560</c:v>
                </c:pt>
                <c:pt idx="36">
                  <c:v>HR55AZ3356</c:v>
                </c:pt>
                <c:pt idx="37">
                  <c:v>HR-66B-4572</c:v>
                </c:pt>
                <c:pt idx="38">
                  <c:v>HR-66C-8938</c:v>
                </c:pt>
                <c:pt idx="39">
                  <c:v>ONLY DRIVER- SU</c:v>
                </c:pt>
                <c:pt idx="40">
                  <c:v>ONLY DRIVER-CH</c:v>
                </c:pt>
                <c:pt idx="41">
                  <c:v>ONLY DRIVER-DAL</c:v>
                </c:pt>
                <c:pt idx="42">
                  <c:v>ONLY DRIVER-DI</c:v>
                </c:pt>
                <c:pt idx="43">
                  <c:v>UK03TA2522</c:v>
                </c:pt>
              </c:strCache>
            </c:strRef>
          </c:cat>
          <c:val>
            <c:numRef>
              <c:f>'Report -1 '!$C$2:$C$46</c:f>
              <c:numCache>
                <c:formatCode>General</c:formatCode>
                <c:ptCount val="44"/>
                <c:pt idx="9">
                  <c:v>-32712.592799999999</c:v>
                </c:pt>
                <c:pt idx="12">
                  <c:v>-13536.389999999985</c:v>
                </c:pt>
                <c:pt idx="25">
                  <c:v>-22564.873333333337</c:v>
                </c:pt>
                <c:pt idx="29">
                  <c:v>-3001.5500000000029</c:v>
                </c:pt>
                <c:pt idx="38">
                  <c:v>-9559.9566666666651</c:v>
                </c:pt>
              </c:numCache>
            </c:numRef>
          </c:val>
          <c:extLst>
            <c:ext xmlns:c16="http://schemas.microsoft.com/office/drawing/2014/chart" uri="{C3380CC4-5D6E-409C-BE32-E72D297353CC}">
              <c16:uniqueId val="{00000002-3C3D-4288-B321-B41E01D3A882}"/>
            </c:ext>
          </c:extLst>
        </c:ser>
        <c:dLbls>
          <c:showLegendKey val="0"/>
          <c:showVal val="0"/>
          <c:showCatName val="0"/>
          <c:showSerName val="0"/>
          <c:showPercent val="0"/>
          <c:showBubbleSize val="0"/>
        </c:dLbls>
        <c:gapWidth val="219"/>
        <c:overlap val="-27"/>
        <c:axId val="915249888"/>
        <c:axId val="915251328"/>
      </c:barChart>
      <c:catAx>
        <c:axId val="9152498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5251328"/>
        <c:crosses val="autoZero"/>
        <c:auto val="1"/>
        <c:lblAlgn val="ctr"/>
        <c:lblOffset val="100"/>
        <c:noMultiLvlLbl val="0"/>
      </c:catAx>
      <c:valAx>
        <c:axId val="9152513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52498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[MIS SHEET-JULY-26.xlsx]Report-2!PivotTable4</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'Report-2'!$B$3</c:f>
              <c:strCache>
                <c:ptCount val="1"/>
                <c:pt idx="0">
                  <c:v>FUEL EXPENSE.</c:v>
                </c:pt>
              </c:strCache>
            </c:strRef>
          </c:tx>
          <c:spPr>
            <a:solidFill>
              <a:schemeClr val="accent1"/>
            </a:solidFill>
            <a:ln>
              <a:noFill/>
            </a:ln>
            <a:effectLst/>
          </c:spPr>
          <c:invertIfNegative val="0"/>
          <c:cat>
            <c:strRef>
              <c:f>'Report-2'!$A$4:$A$48</c:f>
              <c:strCache>
                <c:ptCount val="44"/>
                <c:pt idx="0">
                  <c:v>HR 26 FZ 8882</c:v>
                </c:pt>
                <c:pt idx="1">
                  <c:v>HR 55 AX 1428</c:v>
                </c:pt>
                <c:pt idx="2">
                  <c:v>HR 55 AX 4866</c:v>
                </c:pt>
                <c:pt idx="3">
                  <c:v>HR 55 BA 3898</c:v>
                </c:pt>
                <c:pt idx="4">
                  <c:v>HR 55 BB 4206</c:v>
                </c:pt>
                <c:pt idx="5">
                  <c:v>HR 55 BD 8299</c:v>
                </c:pt>
                <c:pt idx="6">
                  <c:v>HR 55AG 1451</c:v>
                </c:pt>
                <c:pt idx="7">
                  <c:v>HR 55AG 3526</c:v>
                </c:pt>
                <c:pt idx="8">
                  <c:v>HR 55AG 5093</c:v>
                </c:pt>
                <c:pt idx="9">
                  <c:v>HR 55AH 8939</c:v>
                </c:pt>
                <c:pt idx="10">
                  <c:v>HR 55AH1982</c:v>
                </c:pt>
                <c:pt idx="11">
                  <c:v>HR 55AX 1194</c:v>
                </c:pt>
                <c:pt idx="12">
                  <c:v>HR 55BC 1637</c:v>
                </c:pt>
                <c:pt idx="13">
                  <c:v>HR 66 C 0944</c:v>
                </c:pt>
                <c:pt idx="14">
                  <c:v>HR 66 C 2373</c:v>
                </c:pt>
                <c:pt idx="15">
                  <c:v>HR 66 C 2856</c:v>
                </c:pt>
                <c:pt idx="16">
                  <c:v>HR 66C 0292</c:v>
                </c:pt>
                <c:pt idx="17">
                  <c:v>HR 66C 2987</c:v>
                </c:pt>
                <c:pt idx="18">
                  <c:v>HR 66D 1538</c:v>
                </c:pt>
                <c:pt idx="19">
                  <c:v>HR26 EW 5895</c:v>
                </c:pt>
                <c:pt idx="20">
                  <c:v>HR-26FB-7616</c:v>
                </c:pt>
                <c:pt idx="21">
                  <c:v>HR47E 9469</c:v>
                </c:pt>
                <c:pt idx="22">
                  <c:v>HR-47F-1040</c:v>
                </c:pt>
                <c:pt idx="23">
                  <c:v>HR-47F-5680</c:v>
                </c:pt>
                <c:pt idx="24">
                  <c:v>HR-55AB-0471</c:v>
                </c:pt>
                <c:pt idx="25">
                  <c:v>HR-55AC-2477</c:v>
                </c:pt>
                <c:pt idx="26">
                  <c:v>HR-55AC-8668</c:v>
                </c:pt>
                <c:pt idx="27">
                  <c:v>HR-55AF-5134</c:v>
                </c:pt>
                <c:pt idx="28">
                  <c:v>HR-55AG-4440</c:v>
                </c:pt>
                <c:pt idx="29">
                  <c:v>HR-55AH-3603</c:v>
                </c:pt>
                <c:pt idx="30">
                  <c:v>HR-55AK-5787</c:v>
                </c:pt>
                <c:pt idx="31">
                  <c:v>HR-55AL-1846</c:v>
                </c:pt>
                <c:pt idx="32">
                  <c:v>HR-55-AL-5921</c:v>
                </c:pt>
                <c:pt idx="33">
                  <c:v>HR55AL8495</c:v>
                </c:pt>
                <c:pt idx="34">
                  <c:v>HR-55AR-1096</c:v>
                </c:pt>
                <c:pt idx="35">
                  <c:v>HR55AZ 3560</c:v>
                </c:pt>
                <c:pt idx="36">
                  <c:v>HR55AZ3356</c:v>
                </c:pt>
                <c:pt idx="37">
                  <c:v>HR-66B-4572</c:v>
                </c:pt>
                <c:pt idx="38">
                  <c:v>HR-66C-8938</c:v>
                </c:pt>
                <c:pt idx="39">
                  <c:v>ONLY DRIVER- SU</c:v>
                </c:pt>
                <c:pt idx="40">
                  <c:v>ONLY DRIVER-CH</c:v>
                </c:pt>
                <c:pt idx="41">
                  <c:v>ONLY DRIVER-DAL</c:v>
                </c:pt>
                <c:pt idx="42">
                  <c:v>ONLY DRIVER-DI</c:v>
                </c:pt>
                <c:pt idx="43">
                  <c:v>UK03TA2522</c:v>
                </c:pt>
              </c:strCache>
            </c:strRef>
          </c:cat>
          <c:val>
            <c:numRef>
              <c:f>'Report-2'!$B$4:$B$48</c:f>
              <c:numCache>
                <c:formatCode>General</c:formatCode>
                <c:ptCount val="44"/>
                <c:pt idx="0">
                  <c:v>12150.46</c:v>
                </c:pt>
                <c:pt idx="1">
                  <c:v>11532.64</c:v>
                </c:pt>
                <c:pt idx="2">
                  <c:v>20079.150000000001</c:v>
                </c:pt>
                <c:pt idx="3">
                  <c:v>20696.97</c:v>
                </c:pt>
                <c:pt idx="4">
                  <c:v>39594.959999999999</c:v>
                </c:pt>
                <c:pt idx="5">
                  <c:v>17298.96</c:v>
                </c:pt>
                <c:pt idx="6">
                  <c:v>18946.48</c:v>
                </c:pt>
                <c:pt idx="7">
                  <c:v>34597.919999999998</c:v>
                </c:pt>
                <c:pt idx="8">
                  <c:v>28419.72</c:v>
                </c:pt>
                <c:pt idx="9">
                  <c:v>12459.369999999999</c:v>
                </c:pt>
                <c:pt idx="10">
                  <c:v>29074.560000000001</c:v>
                </c:pt>
                <c:pt idx="11">
                  <c:v>18946.48</c:v>
                </c:pt>
                <c:pt idx="12">
                  <c:v>30582.09</c:v>
                </c:pt>
                <c:pt idx="13">
                  <c:v>29830</c:v>
                </c:pt>
                <c:pt idx="14">
                  <c:v>17765</c:v>
                </c:pt>
                <c:pt idx="15">
                  <c:v>25175</c:v>
                </c:pt>
                <c:pt idx="16">
                  <c:v>20874</c:v>
                </c:pt>
                <c:pt idx="17">
                  <c:v>9690</c:v>
                </c:pt>
                <c:pt idx="18">
                  <c:v>19475</c:v>
                </c:pt>
                <c:pt idx="19">
                  <c:v>13900.95</c:v>
                </c:pt>
                <c:pt idx="20">
                  <c:v>0</c:v>
                </c:pt>
                <c:pt idx="21">
                  <c:v>28690</c:v>
                </c:pt>
                <c:pt idx="22">
                  <c:v>35009.800000000003</c:v>
                </c:pt>
                <c:pt idx="23">
                  <c:v>28890</c:v>
                </c:pt>
                <c:pt idx="24">
                  <c:v>29758.329999999998</c:v>
                </c:pt>
                <c:pt idx="25">
                  <c:v>24918.739999999998</c:v>
                </c:pt>
                <c:pt idx="26">
                  <c:v>41085.03</c:v>
                </c:pt>
                <c:pt idx="27">
                  <c:v>23336.16</c:v>
                </c:pt>
                <c:pt idx="28">
                  <c:v>28110.81</c:v>
                </c:pt>
                <c:pt idx="29">
                  <c:v>28316.75</c:v>
                </c:pt>
                <c:pt idx="30">
                  <c:v>10042.200000000001</c:v>
                </c:pt>
                <c:pt idx="31">
                  <c:v>60491</c:v>
                </c:pt>
                <c:pt idx="32">
                  <c:v>25935</c:v>
                </c:pt>
                <c:pt idx="33">
                  <c:v>19564.3</c:v>
                </c:pt>
                <c:pt idx="34">
                  <c:v>26463.29</c:v>
                </c:pt>
                <c:pt idx="35">
                  <c:v>9372.7199999999993</c:v>
                </c:pt>
                <c:pt idx="36">
                  <c:v>26587.920000000002</c:v>
                </c:pt>
                <c:pt idx="37">
                  <c:v>27835</c:v>
                </c:pt>
                <c:pt idx="38">
                  <c:v>30067.239999999998</c:v>
                </c:pt>
                <c:pt idx="39">
                  <c:v>0</c:v>
                </c:pt>
                <c:pt idx="40">
                  <c:v>0</c:v>
                </c:pt>
                <c:pt idx="41">
                  <c:v>0</c:v>
                </c:pt>
                <c:pt idx="42">
                  <c:v>0</c:v>
                </c:pt>
                <c:pt idx="43">
                  <c:v>0</c:v>
                </c:pt>
              </c:numCache>
            </c:numRef>
          </c:val>
          <c:extLst>
            <c:ext xmlns:c16="http://schemas.microsoft.com/office/drawing/2014/chart" uri="{C3380CC4-5D6E-409C-BE32-E72D297353CC}">
              <c16:uniqueId val="{00000000-BADE-425E-A9E3-5AB6A4BE6EC8}"/>
            </c:ext>
          </c:extLst>
        </c:ser>
        <c:ser>
          <c:idx val="1"/>
          <c:order val="1"/>
          <c:tx>
            <c:strRef>
              <c:f>'Report-2'!$C$3</c:f>
              <c:strCache>
                <c:ptCount val="1"/>
                <c:pt idx="0">
                  <c:v>VEHICLE MAINTENANCE.</c:v>
                </c:pt>
              </c:strCache>
            </c:strRef>
          </c:tx>
          <c:spPr>
            <a:solidFill>
              <a:schemeClr val="accent2"/>
            </a:solidFill>
            <a:ln>
              <a:noFill/>
            </a:ln>
            <a:effectLst/>
          </c:spPr>
          <c:invertIfNegative val="0"/>
          <c:cat>
            <c:strRef>
              <c:f>'Report-2'!$A$4:$A$48</c:f>
              <c:strCache>
                <c:ptCount val="44"/>
                <c:pt idx="0">
                  <c:v>HR 26 FZ 8882</c:v>
                </c:pt>
                <c:pt idx="1">
                  <c:v>HR 55 AX 1428</c:v>
                </c:pt>
                <c:pt idx="2">
                  <c:v>HR 55 AX 4866</c:v>
                </c:pt>
                <c:pt idx="3">
                  <c:v>HR 55 BA 3898</c:v>
                </c:pt>
                <c:pt idx="4">
                  <c:v>HR 55 BB 4206</c:v>
                </c:pt>
                <c:pt idx="5">
                  <c:v>HR 55 BD 8299</c:v>
                </c:pt>
                <c:pt idx="6">
                  <c:v>HR 55AG 1451</c:v>
                </c:pt>
                <c:pt idx="7">
                  <c:v>HR 55AG 3526</c:v>
                </c:pt>
                <c:pt idx="8">
                  <c:v>HR 55AG 5093</c:v>
                </c:pt>
                <c:pt idx="9">
                  <c:v>HR 55AH 8939</c:v>
                </c:pt>
                <c:pt idx="10">
                  <c:v>HR 55AH1982</c:v>
                </c:pt>
                <c:pt idx="11">
                  <c:v>HR 55AX 1194</c:v>
                </c:pt>
                <c:pt idx="12">
                  <c:v>HR 55BC 1637</c:v>
                </c:pt>
                <c:pt idx="13">
                  <c:v>HR 66 C 0944</c:v>
                </c:pt>
                <c:pt idx="14">
                  <c:v>HR 66 C 2373</c:v>
                </c:pt>
                <c:pt idx="15">
                  <c:v>HR 66 C 2856</c:v>
                </c:pt>
                <c:pt idx="16">
                  <c:v>HR 66C 0292</c:v>
                </c:pt>
                <c:pt idx="17">
                  <c:v>HR 66C 2987</c:v>
                </c:pt>
                <c:pt idx="18">
                  <c:v>HR 66D 1538</c:v>
                </c:pt>
                <c:pt idx="19">
                  <c:v>HR26 EW 5895</c:v>
                </c:pt>
                <c:pt idx="20">
                  <c:v>HR-26FB-7616</c:v>
                </c:pt>
                <c:pt idx="21">
                  <c:v>HR47E 9469</c:v>
                </c:pt>
                <c:pt idx="22">
                  <c:v>HR-47F-1040</c:v>
                </c:pt>
                <c:pt idx="23">
                  <c:v>HR-47F-5680</c:v>
                </c:pt>
                <c:pt idx="24">
                  <c:v>HR-55AB-0471</c:v>
                </c:pt>
                <c:pt idx="25">
                  <c:v>HR-55AC-2477</c:v>
                </c:pt>
                <c:pt idx="26">
                  <c:v>HR-55AC-8668</c:v>
                </c:pt>
                <c:pt idx="27">
                  <c:v>HR-55AF-5134</c:v>
                </c:pt>
                <c:pt idx="28">
                  <c:v>HR-55AG-4440</c:v>
                </c:pt>
                <c:pt idx="29">
                  <c:v>HR-55AH-3603</c:v>
                </c:pt>
                <c:pt idx="30">
                  <c:v>HR-55AK-5787</c:v>
                </c:pt>
                <c:pt idx="31">
                  <c:v>HR-55AL-1846</c:v>
                </c:pt>
                <c:pt idx="32">
                  <c:v>HR-55-AL-5921</c:v>
                </c:pt>
                <c:pt idx="33">
                  <c:v>HR55AL8495</c:v>
                </c:pt>
                <c:pt idx="34">
                  <c:v>HR-55AR-1096</c:v>
                </c:pt>
                <c:pt idx="35">
                  <c:v>HR55AZ 3560</c:v>
                </c:pt>
                <c:pt idx="36">
                  <c:v>HR55AZ3356</c:v>
                </c:pt>
                <c:pt idx="37">
                  <c:v>HR-66B-4572</c:v>
                </c:pt>
                <c:pt idx="38">
                  <c:v>HR-66C-8938</c:v>
                </c:pt>
                <c:pt idx="39">
                  <c:v>ONLY DRIVER- SU</c:v>
                </c:pt>
                <c:pt idx="40">
                  <c:v>ONLY DRIVER-CH</c:v>
                </c:pt>
                <c:pt idx="41">
                  <c:v>ONLY DRIVER-DAL</c:v>
                </c:pt>
                <c:pt idx="42">
                  <c:v>ONLY DRIVER-DI</c:v>
                </c:pt>
                <c:pt idx="43">
                  <c:v>UK03TA2522</c:v>
                </c:pt>
              </c:strCache>
            </c:strRef>
          </c:cat>
          <c:val>
            <c:numRef>
              <c:f>'Report-2'!$C$4:$C$48</c:f>
              <c:numCache>
                <c:formatCode>General</c:formatCode>
                <c:ptCount val="44"/>
                <c:pt idx="1">
                  <c:v>140</c:v>
                </c:pt>
                <c:pt idx="3">
                  <c:v>60</c:v>
                </c:pt>
                <c:pt idx="6">
                  <c:v>478</c:v>
                </c:pt>
                <c:pt idx="7">
                  <c:v>90</c:v>
                </c:pt>
                <c:pt idx="10">
                  <c:v>99</c:v>
                </c:pt>
                <c:pt idx="11">
                  <c:v>130</c:v>
                </c:pt>
                <c:pt idx="15">
                  <c:v>510</c:v>
                </c:pt>
                <c:pt idx="21">
                  <c:v>100</c:v>
                </c:pt>
                <c:pt idx="24">
                  <c:v>420</c:v>
                </c:pt>
                <c:pt idx="25">
                  <c:v>700</c:v>
                </c:pt>
                <c:pt idx="26">
                  <c:v>2440</c:v>
                </c:pt>
                <c:pt idx="27">
                  <c:v>170</c:v>
                </c:pt>
                <c:pt idx="32">
                  <c:v>700</c:v>
                </c:pt>
                <c:pt idx="33">
                  <c:v>570</c:v>
                </c:pt>
                <c:pt idx="36">
                  <c:v>70</c:v>
                </c:pt>
                <c:pt idx="37">
                  <c:v>99</c:v>
                </c:pt>
                <c:pt idx="38">
                  <c:v>240</c:v>
                </c:pt>
              </c:numCache>
            </c:numRef>
          </c:val>
          <c:extLst>
            <c:ext xmlns:c16="http://schemas.microsoft.com/office/drawing/2014/chart" uri="{C3380CC4-5D6E-409C-BE32-E72D297353CC}">
              <c16:uniqueId val="{00000002-BADE-425E-A9E3-5AB6A4BE6EC8}"/>
            </c:ext>
          </c:extLst>
        </c:ser>
        <c:ser>
          <c:idx val="2"/>
          <c:order val="2"/>
          <c:tx>
            <c:strRef>
              <c:f>'Report-2'!$D$3</c:f>
              <c:strCache>
                <c:ptCount val="1"/>
                <c:pt idx="0">
                  <c:v>STATE TAX.</c:v>
                </c:pt>
              </c:strCache>
            </c:strRef>
          </c:tx>
          <c:spPr>
            <a:solidFill>
              <a:schemeClr val="accent3"/>
            </a:solidFill>
            <a:ln>
              <a:noFill/>
            </a:ln>
            <a:effectLst/>
          </c:spPr>
          <c:invertIfNegative val="0"/>
          <c:cat>
            <c:strRef>
              <c:f>'Report-2'!$A$4:$A$48</c:f>
              <c:strCache>
                <c:ptCount val="44"/>
                <c:pt idx="0">
                  <c:v>HR 26 FZ 8882</c:v>
                </c:pt>
                <c:pt idx="1">
                  <c:v>HR 55 AX 1428</c:v>
                </c:pt>
                <c:pt idx="2">
                  <c:v>HR 55 AX 4866</c:v>
                </c:pt>
                <c:pt idx="3">
                  <c:v>HR 55 BA 3898</c:v>
                </c:pt>
                <c:pt idx="4">
                  <c:v>HR 55 BB 4206</c:v>
                </c:pt>
                <c:pt idx="5">
                  <c:v>HR 55 BD 8299</c:v>
                </c:pt>
                <c:pt idx="6">
                  <c:v>HR 55AG 1451</c:v>
                </c:pt>
                <c:pt idx="7">
                  <c:v>HR 55AG 3526</c:v>
                </c:pt>
                <c:pt idx="8">
                  <c:v>HR 55AG 5093</c:v>
                </c:pt>
                <c:pt idx="9">
                  <c:v>HR 55AH 8939</c:v>
                </c:pt>
                <c:pt idx="10">
                  <c:v>HR 55AH1982</c:v>
                </c:pt>
                <c:pt idx="11">
                  <c:v>HR 55AX 1194</c:v>
                </c:pt>
                <c:pt idx="12">
                  <c:v>HR 55BC 1637</c:v>
                </c:pt>
                <c:pt idx="13">
                  <c:v>HR 66 C 0944</c:v>
                </c:pt>
                <c:pt idx="14">
                  <c:v>HR 66 C 2373</c:v>
                </c:pt>
                <c:pt idx="15">
                  <c:v>HR 66 C 2856</c:v>
                </c:pt>
                <c:pt idx="16">
                  <c:v>HR 66C 0292</c:v>
                </c:pt>
                <c:pt idx="17">
                  <c:v>HR 66C 2987</c:v>
                </c:pt>
                <c:pt idx="18">
                  <c:v>HR 66D 1538</c:v>
                </c:pt>
                <c:pt idx="19">
                  <c:v>HR26 EW 5895</c:v>
                </c:pt>
                <c:pt idx="20">
                  <c:v>HR-26FB-7616</c:v>
                </c:pt>
                <c:pt idx="21">
                  <c:v>HR47E 9469</c:v>
                </c:pt>
                <c:pt idx="22">
                  <c:v>HR-47F-1040</c:v>
                </c:pt>
                <c:pt idx="23">
                  <c:v>HR-47F-5680</c:v>
                </c:pt>
                <c:pt idx="24">
                  <c:v>HR-55AB-0471</c:v>
                </c:pt>
                <c:pt idx="25">
                  <c:v>HR-55AC-2477</c:v>
                </c:pt>
                <c:pt idx="26">
                  <c:v>HR-55AC-8668</c:v>
                </c:pt>
                <c:pt idx="27">
                  <c:v>HR-55AF-5134</c:v>
                </c:pt>
                <c:pt idx="28">
                  <c:v>HR-55AG-4440</c:v>
                </c:pt>
                <c:pt idx="29">
                  <c:v>HR-55AH-3603</c:v>
                </c:pt>
                <c:pt idx="30">
                  <c:v>HR-55AK-5787</c:v>
                </c:pt>
                <c:pt idx="31">
                  <c:v>HR-55AL-1846</c:v>
                </c:pt>
                <c:pt idx="32">
                  <c:v>HR-55-AL-5921</c:v>
                </c:pt>
                <c:pt idx="33">
                  <c:v>HR55AL8495</c:v>
                </c:pt>
                <c:pt idx="34">
                  <c:v>HR-55AR-1096</c:v>
                </c:pt>
                <c:pt idx="35">
                  <c:v>HR55AZ 3560</c:v>
                </c:pt>
                <c:pt idx="36">
                  <c:v>HR55AZ3356</c:v>
                </c:pt>
                <c:pt idx="37">
                  <c:v>HR-66B-4572</c:v>
                </c:pt>
                <c:pt idx="38">
                  <c:v>HR-66C-8938</c:v>
                </c:pt>
                <c:pt idx="39">
                  <c:v>ONLY DRIVER- SU</c:v>
                </c:pt>
                <c:pt idx="40">
                  <c:v>ONLY DRIVER-CH</c:v>
                </c:pt>
                <c:pt idx="41">
                  <c:v>ONLY DRIVER-DAL</c:v>
                </c:pt>
                <c:pt idx="42">
                  <c:v>ONLY DRIVER-DI</c:v>
                </c:pt>
                <c:pt idx="43">
                  <c:v>UK03TA2522</c:v>
                </c:pt>
              </c:strCache>
            </c:strRef>
          </c:cat>
          <c:val>
            <c:numRef>
              <c:f>'Report-2'!$D$4:$D$48</c:f>
              <c:numCache>
                <c:formatCode>General</c:formatCode>
                <c:ptCount val="44"/>
                <c:pt idx="0">
                  <c:v>0</c:v>
                </c:pt>
                <c:pt idx="1">
                  <c:v>0</c:v>
                </c:pt>
                <c:pt idx="2">
                  <c:v>490</c:v>
                </c:pt>
                <c:pt idx="3">
                  <c:v>0</c:v>
                </c:pt>
                <c:pt idx="4">
                  <c:v>671</c:v>
                </c:pt>
                <c:pt idx="5">
                  <c:v>360</c:v>
                </c:pt>
                <c:pt idx="6">
                  <c:v>1530</c:v>
                </c:pt>
                <c:pt idx="7">
                  <c:v>0</c:v>
                </c:pt>
                <c:pt idx="8">
                  <c:v>448</c:v>
                </c:pt>
                <c:pt idx="9">
                  <c:v>0</c:v>
                </c:pt>
                <c:pt idx="10">
                  <c:v>0</c:v>
                </c:pt>
                <c:pt idx="11">
                  <c:v>0</c:v>
                </c:pt>
                <c:pt idx="12">
                  <c:v>6917</c:v>
                </c:pt>
                <c:pt idx="13">
                  <c:v>2016</c:v>
                </c:pt>
                <c:pt idx="14">
                  <c:v>0</c:v>
                </c:pt>
                <c:pt idx="15">
                  <c:v>10265</c:v>
                </c:pt>
                <c:pt idx="16">
                  <c:v>0</c:v>
                </c:pt>
                <c:pt idx="17">
                  <c:v>1791</c:v>
                </c:pt>
                <c:pt idx="18">
                  <c:v>672</c:v>
                </c:pt>
                <c:pt idx="19">
                  <c:v>0</c:v>
                </c:pt>
                <c:pt idx="20">
                  <c:v>0</c:v>
                </c:pt>
                <c:pt idx="21">
                  <c:v>6917</c:v>
                </c:pt>
                <c:pt idx="22">
                  <c:v>1530</c:v>
                </c:pt>
                <c:pt idx="23">
                  <c:v>0</c:v>
                </c:pt>
                <c:pt idx="24">
                  <c:v>4241</c:v>
                </c:pt>
                <c:pt idx="25">
                  <c:v>0</c:v>
                </c:pt>
                <c:pt idx="26">
                  <c:v>0</c:v>
                </c:pt>
                <c:pt idx="27">
                  <c:v>4480</c:v>
                </c:pt>
                <c:pt idx="28">
                  <c:v>4241</c:v>
                </c:pt>
                <c:pt idx="29">
                  <c:v>0</c:v>
                </c:pt>
                <c:pt idx="30">
                  <c:v>360</c:v>
                </c:pt>
                <c:pt idx="31">
                  <c:v>9690</c:v>
                </c:pt>
                <c:pt idx="32">
                  <c:v>6917</c:v>
                </c:pt>
                <c:pt idx="33">
                  <c:v>7905</c:v>
                </c:pt>
                <c:pt idx="34">
                  <c:v>170</c:v>
                </c:pt>
                <c:pt idx="35">
                  <c:v>0</c:v>
                </c:pt>
                <c:pt idx="36">
                  <c:v>0</c:v>
                </c:pt>
                <c:pt idx="37">
                  <c:v>0</c:v>
                </c:pt>
                <c:pt idx="38">
                  <c:v>0</c:v>
                </c:pt>
                <c:pt idx="39">
                  <c:v>0</c:v>
                </c:pt>
                <c:pt idx="40">
                  <c:v>0</c:v>
                </c:pt>
                <c:pt idx="41">
                  <c:v>0</c:v>
                </c:pt>
                <c:pt idx="42">
                  <c:v>0</c:v>
                </c:pt>
                <c:pt idx="43">
                  <c:v>0</c:v>
                </c:pt>
              </c:numCache>
            </c:numRef>
          </c:val>
          <c:extLst>
            <c:ext xmlns:c16="http://schemas.microsoft.com/office/drawing/2014/chart" uri="{C3380CC4-5D6E-409C-BE32-E72D297353CC}">
              <c16:uniqueId val="{00000003-BADE-425E-A9E3-5AB6A4BE6EC8}"/>
            </c:ext>
          </c:extLst>
        </c:ser>
        <c:ser>
          <c:idx val="3"/>
          <c:order val="3"/>
          <c:tx>
            <c:strRef>
              <c:f>'Report-2'!$E$3</c:f>
              <c:strCache>
                <c:ptCount val="1"/>
                <c:pt idx="0">
                  <c:v>FAST TAG/MCD/PARKING.</c:v>
                </c:pt>
              </c:strCache>
            </c:strRef>
          </c:tx>
          <c:spPr>
            <a:solidFill>
              <a:schemeClr val="accent4"/>
            </a:solidFill>
            <a:ln>
              <a:noFill/>
            </a:ln>
            <a:effectLst/>
          </c:spPr>
          <c:invertIfNegative val="0"/>
          <c:cat>
            <c:strRef>
              <c:f>'Report-2'!$A$4:$A$48</c:f>
              <c:strCache>
                <c:ptCount val="44"/>
                <c:pt idx="0">
                  <c:v>HR 26 FZ 8882</c:v>
                </c:pt>
                <c:pt idx="1">
                  <c:v>HR 55 AX 1428</c:v>
                </c:pt>
                <c:pt idx="2">
                  <c:v>HR 55 AX 4866</c:v>
                </c:pt>
                <c:pt idx="3">
                  <c:v>HR 55 BA 3898</c:v>
                </c:pt>
                <c:pt idx="4">
                  <c:v>HR 55 BB 4206</c:v>
                </c:pt>
                <c:pt idx="5">
                  <c:v>HR 55 BD 8299</c:v>
                </c:pt>
                <c:pt idx="6">
                  <c:v>HR 55AG 1451</c:v>
                </c:pt>
                <c:pt idx="7">
                  <c:v>HR 55AG 3526</c:v>
                </c:pt>
                <c:pt idx="8">
                  <c:v>HR 55AG 5093</c:v>
                </c:pt>
                <c:pt idx="9">
                  <c:v>HR 55AH 8939</c:v>
                </c:pt>
                <c:pt idx="10">
                  <c:v>HR 55AH1982</c:v>
                </c:pt>
                <c:pt idx="11">
                  <c:v>HR 55AX 1194</c:v>
                </c:pt>
                <c:pt idx="12">
                  <c:v>HR 55BC 1637</c:v>
                </c:pt>
                <c:pt idx="13">
                  <c:v>HR 66 C 0944</c:v>
                </c:pt>
                <c:pt idx="14">
                  <c:v>HR 66 C 2373</c:v>
                </c:pt>
                <c:pt idx="15">
                  <c:v>HR 66 C 2856</c:v>
                </c:pt>
                <c:pt idx="16">
                  <c:v>HR 66C 0292</c:v>
                </c:pt>
                <c:pt idx="17">
                  <c:v>HR 66C 2987</c:v>
                </c:pt>
                <c:pt idx="18">
                  <c:v>HR 66D 1538</c:v>
                </c:pt>
                <c:pt idx="19">
                  <c:v>HR26 EW 5895</c:v>
                </c:pt>
                <c:pt idx="20">
                  <c:v>HR-26FB-7616</c:v>
                </c:pt>
                <c:pt idx="21">
                  <c:v>HR47E 9469</c:v>
                </c:pt>
                <c:pt idx="22">
                  <c:v>HR-47F-1040</c:v>
                </c:pt>
                <c:pt idx="23">
                  <c:v>HR-47F-5680</c:v>
                </c:pt>
                <c:pt idx="24">
                  <c:v>HR-55AB-0471</c:v>
                </c:pt>
                <c:pt idx="25">
                  <c:v>HR-55AC-2477</c:v>
                </c:pt>
                <c:pt idx="26">
                  <c:v>HR-55AC-8668</c:v>
                </c:pt>
                <c:pt idx="27">
                  <c:v>HR-55AF-5134</c:v>
                </c:pt>
                <c:pt idx="28">
                  <c:v>HR-55AG-4440</c:v>
                </c:pt>
                <c:pt idx="29">
                  <c:v>HR-55AH-3603</c:v>
                </c:pt>
                <c:pt idx="30">
                  <c:v>HR-55AK-5787</c:v>
                </c:pt>
                <c:pt idx="31">
                  <c:v>HR-55AL-1846</c:v>
                </c:pt>
                <c:pt idx="32">
                  <c:v>HR-55-AL-5921</c:v>
                </c:pt>
                <c:pt idx="33">
                  <c:v>HR55AL8495</c:v>
                </c:pt>
                <c:pt idx="34">
                  <c:v>HR-55AR-1096</c:v>
                </c:pt>
                <c:pt idx="35">
                  <c:v>HR55AZ 3560</c:v>
                </c:pt>
                <c:pt idx="36">
                  <c:v>HR55AZ3356</c:v>
                </c:pt>
                <c:pt idx="37">
                  <c:v>HR-66B-4572</c:v>
                </c:pt>
                <c:pt idx="38">
                  <c:v>HR-66C-8938</c:v>
                </c:pt>
                <c:pt idx="39">
                  <c:v>ONLY DRIVER- SU</c:v>
                </c:pt>
                <c:pt idx="40">
                  <c:v>ONLY DRIVER-CH</c:v>
                </c:pt>
                <c:pt idx="41">
                  <c:v>ONLY DRIVER-DAL</c:v>
                </c:pt>
                <c:pt idx="42">
                  <c:v>ONLY DRIVER-DI</c:v>
                </c:pt>
                <c:pt idx="43">
                  <c:v>UK03TA2522</c:v>
                </c:pt>
              </c:strCache>
            </c:strRef>
          </c:cat>
          <c:val>
            <c:numRef>
              <c:f>'Report-2'!$E$4:$E$48</c:f>
              <c:numCache>
                <c:formatCode>General</c:formatCode>
                <c:ptCount val="44"/>
                <c:pt idx="0">
                  <c:v>1050</c:v>
                </c:pt>
                <c:pt idx="1">
                  <c:v>4175</c:v>
                </c:pt>
                <c:pt idx="2">
                  <c:v>5430</c:v>
                </c:pt>
                <c:pt idx="3">
                  <c:v>4820</c:v>
                </c:pt>
                <c:pt idx="4">
                  <c:v>12911</c:v>
                </c:pt>
                <c:pt idx="5">
                  <c:v>3580</c:v>
                </c:pt>
                <c:pt idx="6">
                  <c:v>3235</c:v>
                </c:pt>
                <c:pt idx="7">
                  <c:v>2520</c:v>
                </c:pt>
                <c:pt idx="8">
                  <c:v>8135</c:v>
                </c:pt>
                <c:pt idx="9">
                  <c:v>2389</c:v>
                </c:pt>
                <c:pt idx="10">
                  <c:v>11122</c:v>
                </c:pt>
                <c:pt idx="11">
                  <c:v>4305</c:v>
                </c:pt>
                <c:pt idx="12">
                  <c:v>7055</c:v>
                </c:pt>
                <c:pt idx="13">
                  <c:v>8310</c:v>
                </c:pt>
                <c:pt idx="14">
                  <c:v>10040</c:v>
                </c:pt>
                <c:pt idx="15">
                  <c:v>2625</c:v>
                </c:pt>
                <c:pt idx="16">
                  <c:v>1975</c:v>
                </c:pt>
                <c:pt idx="17">
                  <c:v>3295</c:v>
                </c:pt>
                <c:pt idx="18">
                  <c:v>5810</c:v>
                </c:pt>
                <c:pt idx="19">
                  <c:v>930</c:v>
                </c:pt>
                <c:pt idx="20">
                  <c:v>985</c:v>
                </c:pt>
                <c:pt idx="21">
                  <c:v>8515</c:v>
                </c:pt>
                <c:pt idx="22">
                  <c:v>5440</c:v>
                </c:pt>
                <c:pt idx="23">
                  <c:v>6250</c:v>
                </c:pt>
                <c:pt idx="24">
                  <c:v>8630</c:v>
                </c:pt>
                <c:pt idx="25">
                  <c:v>2500</c:v>
                </c:pt>
                <c:pt idx="26">
                  <c:v>11784</c:v>
                </c:pt>
                <c:pt idx="27">
                  <c:v>6960</c:v>
                </c:pt>
                <c:pt idx="28">
                  <c:v>11002</c:v>
                </c:pt>
                <c:pt idx="29">
                  <c:v>5817</c:v>
                </c:pt>
                <c:pt idx="30">
                  <c:v>6370</c:v>
                </c:pt>
                <c:pt idx="31">
                  <c:v>19375</c:v>
                </c:pt>
                <c:pt idx="32">
                  <c:v>4440</c:v>
                </c:pt>
                <c:pt idx="33">
                  <c:v>0</c:v>
                </c:pt>
                <c:pt idx="34">
                  <c:v>6210</c:v>
                </c:pt>
                <c:pt idx="35">
                  <c:v>670</c:v>
                </c:pt>
                <c:pt idx="36">
                  <c:v>6950</c:v>
                </c:pt>
                <c:pt idx="37">
                  <c:v>11370</c:v>
                </c:pt>
                <c:pt idx="38">
                  <c:v>6095</c:v>
                </c:pt>
                <c:pt idx="39">
                  <c:v>0</c:v>
                </c:pt>
                <c:pt idx="40">
                  <c:v>0</c:v>
                </c:pt>
                <c:pt idx="41">
                  <c:v>0</c:v>
                </c:pt>
                <c:pt idx="42">
                  <c:v>0</c:v>
                </c:pt>
                <c:pt idx="43">
                  <c:v>0</c:v>
                </c:pt>
              </c:numCache>
            </c:numRef>
          </c:val>
          <c:extLst>
            <c:ext xmlns:c16="http://schemas.microsoft.com/office/drawing/2014/chart" uri="{C3380CC4-5D6E-409C-BE32-E72D297353CC}">
              <c16:uniqueId val="{00000004-BADE-425E-A9E3-5AB6A4BE6EC8}"/>
            </c:ext>
          </c:extLst>
        </c:ser>
        <c:ser>
          <c:idx val="4"/>
          <c:order val="4"/>
          <c:tx>
            <c:strRef>
              <c:f>'Report-2'!$F$3</c:f>
              <c:strCache>
                <c:ptCount val="1"/>
                <c:pt idx="0">
                  <c:v>RENT &amp; DEPRECIATION.</c:v>
                </c:pt>
              </c:strCache>
            </c:strRef>
          </c:tx>
          <c:spPr>
            <a:solidFill>
              <a:schemeClr val="accent5"/>
            </a:solidFill>
            <a:ln>
              <a:noFill/>
            </a:ln>
            <a:effectLst/>
          </c:spPr>
          <c:invertIfNegative val="0"/>
          <c:cat>
            <c:strRef>
              <c:f>'Report-2'!$A$4:$A$48</c:f>
              <c:strCache>
                <c:ptCount val="44"/>
                <c:pt idx="0">
                  <c:v>HR 26 FZ 8882</c:v>
                </c:pt>
                <c:pt idx="1">
                  <c:v>HR 55 AX 1428</c:v>
                </c:pt>
                <c:pt idx="2">
                  <c:v>HR 55 AX 4866</c:v>
                </c:pt>
                <c:pt idx="3">
                  <c:v>HR 55 BA 3898</c:v>
                </c:pt>
                <c:pt idx="4">
                  <c:v>HR 55 BB 4206</c:v>
                </c:pt>
                <c:pt idx="5">
                  <c:v>HR 55 BD 8299</c:v>
                </c:pt>
                <c:pt idx="6">
                  <c:v>HR 55AG 1451</c:v>
                </c:pt>
                <c:pt idx="7">
                  <c:v>HR 55AG 3526</c:v>
                </c:pt>
                <c:pt idx="8">
                  <c:v>HR 55AG 5093</c:v>
                </c:pt>
                <c:pt idx="9">
                  <c:v>HR 55AH 8939</c:v>
                </c:pt>
                <c:pt idx="10">
                  <c:v>HR 55AH1982</c:v>
                </c:pt>
                <c:pt idx="11">
                  <c:v>HR 55AX 1194</c:v>
                </c:pt>
                <c:pt idx="12">
                  <c:v>HR 55BC 1637</c:v>
                </c:pt>
                <c:pt idx="13">
                  <c:v>HR 66 C 0944</c:v>
                </c:pt>
                <c:pt idx="14">
                  <c:v>HR 66 C 2373</c:v>
                </c:pt>
                <c:pt idx="15">
                  <c:v>HR 66 C 2856</c:v>
                </c:pt>
                <c:pt idx="16">
                  <c:v>HR 66C 0292</c:v>
                </c:pt>
                <c:pt idx="17">
                  <c:v>HR 66C 2987</c:v>
                </c:pt>
                <c:pt idx="18">
                  <c:v>HR 66D 1538</c:v>
                </c:pt>
                <c:pt idx="19">
                  <c:v>HR26 EW 5895</c:v>
                </c:pt>
                <c:pt idx="20">
                  <c:v>HR-26FB-7616</c:v>
                </c:pt>
                <c:pt idx="21">
                  <c:v>HR47E 9469</c:v>
                </c:pt>
                <c:pt idx="22">
                  <c:v>HR-47F-1040</c:v>
                </c:pt>
                <c:pt idx="23">
                  <c:v>HR-47F-5680</c:v>
                </c:pt>
                <c:pt idx="24">
                  <c:v>HR-55AB-0471</c:v>
                </c:pt>
                <c:pt idx="25">
                  <c:v>HR-55AC-2477</c:v>
                </c:pt>
                <c:pt idx="26">
                  <c:v>HR-55AC-8668</c:v>
                </c:pt>
                <c:pt idx="27">
                  <c:v>HR-55AF-5134</c:v>
                </c:pt>
                <c:pt idx="28">
                  <c:v>HR-55AG-4440</c:v>
                </c:pt>
                <c:pt idx="29">
                  <c:v>HR-55AH-3603</c:v>
                </c:pt>
                <c:pt idx="30">
                  <c:v>HR-55AK-5787</c:v>
                </c:pt>
                <c:pt idx="31">
                  <c:v>HR-55AL-1846</c:v>
                </c:pt>
                <c:pt idx="32">
                  <c:v>HR-55-AL-5921</c:v>
                </c:pt>
                <c:pt idx="33">
                  <c:v>HR55AL8495</c:v>
                </c:pt>
                <c:pt idx="34">
                  <c:v>HR-55AR-1096</c:v>
                </c:pt>
                <c:pt idx="35">
                  <c:v>HR55AZ 3560</c:v>
                </c:pt>
                <c:pt idx="36">
                  <c:v>HR55AZ3356</c:v>
                </c:pt>
                <c:pt idx="37">
                  <c:v>HR-66B-4572</c:v>
                </c:pt>
                <c:pt idx="38">
                  <c:v>HR-66C-8938</c:v>
                </c:pt>
                <c:pt idx="39">
                  <c:v>ONLY DRIVER- SU</c:v>
                </c:pt>
                <c:pt idx="40">
                  <c:v>ONLY DRIVER-CH</c:v>
                </c:pt>
                <c:pt idx="41">
                  <c:v>ONLY DRIVER-DAL</c:v>
                </c:pt>
                <c:pt idx="42">
                  <c:v>ONLY DRIVER-DI</c:v>
                </c:pt>
                <c:pt idx="43">
                  <c:v>UK03TA2522</c:v>
                </c:pt>
              </c:strCache>
            </c:strRef>
          </c:cat>
          <c:val>
            <c:numRef>
              <c:f>'Report-2'!$F$4:$F$48</c:f>
              <c:numCache>
                <c:formatCode>General</c:formatCode>
                <c:ptCount val="44"/>
                <c:pt idx="0">
                  <c:v>45035</c:v>
                </c:pt>
                <c:pt idx="1">
                  <c:v>55000</c:v>
                </c:pt>
                <c:pt idx="2">
                  <c:v>35000</c:v>
                </c:pt>
                <c:pt idx="3">
                  <c:v>21320</c:v>
                </c:pt>
                <c:pt idx="4">
                  <c:v>66428</c:v>
                </c:pt>
                <c:pt idx="5">
                  <c:v>46546</c:v>
                </c:pt>
                <c:pt idx="6">
                  <c:v>0</c:v>
                </c:pt>
                <c:pt idx="7">
                  <c:v>0</c:v>
                </c:pt>
                <c:pt idx="8">
                  <c:v>0</c:v>
                </c:pt>
                <c:pt idx="9">
                  <c:v>0</c:v>
                </c:pt>
                <c:pt idx="10">
                  <c:v>0</c:v>
                </c:pt>
                <c:pt idx="11">
                  <c:v>35000</c:v>
                </c:pt>
                <c:pt idx="12">
                  <c:v>67960</c:v>
                </c:pt>
                <c:pt idx="13">
                  <c:v>59540</c:v>
                </c:pt>
                <c:pt idx="14">
                  <c:v>53000</c:v>
                </c:pt>
                <c:pt idx="15">
                  <c:v>51395</c:v>
                </c:pt>
                <c:pt idx="16">
                  <c:v>55000</c:v>
                </c:pt>
                <c:pt idx="17">
                  <c:v>53000</c:v>
                </c:pt>
                <c:pt idx="18">
                  <c:v>55000</c:v>
                </c:pt>
                <c:pt idx="19">
                  <c:v>30000</c:v>
                </c:pt>
                <c:pt idx="20">
                  <c:v>68000</c:v>
                </c:pt>
                <c:pt idx="21">
                  <c:v>62074</c:v>
                </c:pt>
                <c:pt idx="22">
                  <c:v>38020</c:v>
                </c:pt>
                <c:pt idx="23">
                  <c:v>41054</c:v>
                </c:pt>
                <c:pt idx="24">
                  <c:v>0</c:v>
                </c:pt>
                <c:pt idx="25">
                  <c:v>0</c:v>
                </c:pt>
                <c:pt idx="26">
                  <c:v>0</c:v>
                </c:pt>
                <c:pt idx="27">
                  <c:v>0</c:v>
                </c:pt>
                <c:pt idx="28">
                  <c:v>0</c:v>
                </c:pt>
                <c:pt idx="29">
                  <c:v>0</c:v>
                </c:pt>
                <c:pt idx="30">
                  <c:v>6065</c:v>
                </c:pt>
                <c:pt idx="31">
                  <c:v>101064</c:v>
                </c:pt>
                <c:pt idx="32">
                  <c:v>54000</c:v>
                </c:pt>
                <c:pt idx="33">
                  <c:v>32000</c:v>
                </c:pt>
                <c:pt idx="34">
                  <c:v>0</c:v>
                </c:pt>
                <c:pt idx="35">
                  <c:v>57534</c:v>
                </c:pt>
                <c:pt idx="36">
                  <c:v>57163</c:v>
                </c:pt>
                <c:pt idx="37">
                  <c:v>47860</c:v>
                </c:pt>
                <c:pt idx="38">
                  <c:v>35297</c:v>
                </c:pt>
                <c:pt idx="39">
                  <c:v>0</c:v>
                </c:pt>
                <c:pt idx="40">
                  <c:v>0</c:v>
                </c:pt>
                <c:pt idx="41">
                  <c:v>0</c:v>
                </c:pt>
                <c:pt idx="42">
                  <c:v>0</c:v>
                </c:pt>
                <c:pt idx="43">
                  <c:v>0</c:v>
                </c:pt>
              </c:numCache>
            </c:numRef>
          </c:val>
          <c:extLst>
            <c:ext xmlns:c16="http://schemas.microsoft.com/office/drawing/2014/chart" uri="{C3380CC4-5D6E-409C-BE32-E72D297353CC}">
              <c16:uniqueId val="{00000005-BADE-425E-A9E3-5AB6A4BE6EC8}"/>
            </c:ext>
          </c:extLst>
        </c:ser>
        <c:ser>
          <c:idx val="5"/>
          <c:order val="5"/>
          <c:tx>
            <c:strRef>
              <c:f>'Report-2'!$G$3</c:f>
              <c:strCache>
                <c:ptCount val="1"/>
                <c:pt idx="0">
                  <c:v>CTC (Driver Salary/Cost).</c:v>
                </c:pt>
              </c:strCache>
            </c:strRef>
          </c:tx>
          <c:spPr>
            <a:solidFill>
              <a:schemeClr val="accent6"/>
            </a:solidFill>
            <a:ln>
              <a:noFill/>
            </a:ln>
            <a:effectLst/>
          </c:spPr>
          <c:invertIfNegative val="0"/>
          <c:cat>
            <c:strRef>
              <c:f>'Report-2'!$A$4:$A$48</c:f>
              <c:strCache>
                <c:ptCount val="44"/>
                <c:pt idx="0">
                  <c:v>HR 26 FZ 8882</c:v>
                </c:pt>
                <c:pt idx="1">
                  <c:v>HR 55 AX 1428</c:v>
                </c:pt>
                <c:pt idx="2">
                  <c:v>HR 55 AX 4866</c:v>
                </c:pt>
                <c:pt idx="3">
                  <c:v>HR 55 BA 3898</c:v>
                </c:pt>
                <c:pt idx="4">
                  <c:v>HR 55 BB 4206</c:v>
                </c:pt>
                <c:pt idx="5">
                  <c:v>HR 55 BD 8299</c:v>
                </c:pt>
                <c:pt idx="6">
                  <c:v>HR 55AG 1451</c:v>
                </c:pt>
                <c:pt idx="7">
                  <c:v>HR 55AG 3526</c:v>
                </c:pt>
                <c:pt idx="8">
                  <c:v>HR 55AG 5093</c:v>
                </c:pt>
                <c:pt idx="9">
                  <c:v>HR 55AH 8939</c:v>
                </c:pt>
                <c:pt idx="10">
                  <c:v>HR 55AH1982</c:v>
                </c:pt>
                <c:pt idx="11">
                  <c:v>HR 55AX 1194</c:v>
                </c:pt>
                <c:pt idx="12">
                  <c:v>HR 55BC 1637</c:v>
                </c:pt>
                <c:pt idx="13">
                  <c:v>HR 66 C 0944</c:v>
                </c:pt>
                <c:pt idx="14">
                  <c:v>HR 66 C 2373</c:v>
                </c:pt>
                <c:pt idx="15">
                  <c:v>HR 66 C 2856</c:v>
                </c:pt>
                <c:pt idx="16">
                  <c:v>HR 66C 0292</c:v>
                </c:pt>
                <c:pt idx="17">
                  <c:v>HR 66C 2987</c:v>
                </c:pt>
                <c:pt idx="18">
                  <c:v>HR 66D 1538</c:v>
                </c:pt>
                <c:pt idx="19">
                  <c:v>HR26 EW 5895</c:v>
                </c:pt>
                <c:pt idx="20">
                  <c:v>HR-26FB-7616</c:v>
                </c:pt>
                <c:pt idx="21">
                  <c:v>HR47E 9469</c:v>
                </c:pt>
                <c:pt idx="22">
                  <c:v>HR-47F-1040</c:v>
                </c:pt>
                <c:pt idx="23">
                  <c:v>HR-47F-5680</c:v>
                </c:pt>
                <c:pt idx="24">
                  <c:v>HR-55AB-0471</c:v>
                </c:pt>
                <c:pt idx="25">
                  <c:v>HR-55AC-2477</c:v>
                </c:pt>
                <c:pt idx="26">
                  <c:v>HR-55AC-8668</c:v>
                </c:pt>
                <c:pt idx="27">
                  <c:v>HR-55AF-5134</c:v>
                </c:pt>
                <c:pt idx="28">
                  <c:v>HR-55AG-4440</c:v>
                </c:pt>
                <c:pt idx="29">
                  <c:v>HR-55AH-3603</c:v>
                </c:pt>
                <c:pt idx="30">
                  <c:v>HR-55AK-5787</c:v>
                </c:pt>
                <c:pt idx="31">
                  <c:v>HR-55AL-1846</c:v>
                </c:pt>
                <c:pt idx="32">
                  <c:v>HR-55-AL-5921</c:v>
                </c:pt>
                <c:pt idx="33">
                  <c:v>HR55AL8495</c:v>
                </c:pt>
                <c:pt idx="34">
                  <c:v>HR-55AR-1096</c:v>
                </c:pt>
                <c:pt idx="35">
                  <c:v>HR55AZ 3560</c:v>
                </c:pt>
                <c:pt idx="36">
                  <c:v>HR55AZ3356</c:v>
                </c:pt>
                <c:pt idx="37">
                  <c:v>HR-66B-4572</c:v>
                </c:pt>
                <c:pt idx="38">
                  <c:v>HR-66C-8938</c:v>
                </c:pt>
                <c:pt idx="39">
                  <c:v>ONLY DRIVER- SU</c:v>
                </c:pt>
                <c:pt idx="40">
                  <c:v>ONLY DRIVER-CH</c:v>
                </c:pt>
                <c:pt idx="41">
                  <c:v>ONLY DRIVER-DAL</c:v>
                </c:pt>
                <c:pt idx="42">
                  <c:v>ONLY DRIVER-DI</c:v>
                </c:pt>
                <c:pt idx="43">
                  <c:v>UK03TA2522</c:v>
                </c:pt>
              </c:strCache>
            </c:strRef>
          </c:cat>
          <c:val>
            <c:numRef>
              <c:f>'Report-2'!$G$4:$G$48</c:f>
              <c:numCache>
                <c:formatCode>General</c:formatCode>
                <c:ptCount val="44"/>
                <c:pt idx="0">
                  <c:v>47792.3</c:v>
                </c:pt>
                <c:pt idx="1">
                  <c:v>38714.300000000003</c:v>
                </c:pt>
                <c:pt idx="2">
                  <c:v>38853.066666666666</c:v>
                </c:pt>
                <c:pt idx="3">
                  <c:v>42514.804799999998</c:v>
                </c:pt>
                <c:pt idx="4">
                  <c:v>52260.133333333331</c:v>
                </c:pt>
                <c:pt idx="5">
                  <c:v>33394.300000000003</c:v>
                </c:pt>
                <c:pt idx="6">
                  <c:v>12160.9092</c:v>
                </c:pt>
                <c:pt idx="7">
                  <c:v>43399.683333333334</c:v>
                </c:pt>
                <c:pt idx="8">
                  <c:v>35372.300000000003</c:v>
                </c:pt>
                <c:pt idx="9">
                  <c:v>35684.222799999996</c:v>
                </c:pt>
                <c:pt idx="10">
                  <c:v>39520.300000000003</c:v>
                </c:pt>
                <c:pt idx="11">
                  <c:v>39352.633333333331</c:v>
                </c:pt>
                <c:pt idx="12">
                  <c:v>31804.3</c:v>
                </c:pt>
                <c:pt idx="13">
                  <c:v>39888.550000000003</c:v>
                </c:pt>
                <c:pt idx="14">
                  <c:v>54757.8</c:v>
                </c:pt>
                <c:pt idx="15">
                  <c:v>48686.8</c:v>
                </c:pt>
                <c:pt idx="16">
                  <c:v>50719.3</c:v>
                </c:pt>
                <c:pt idx="17">
                  <c:v>35386.716666666667</c:v>
                </c:pt>
                <c:pt idx="18">
                  <c:v>33958.800000000003</c:v>
                </c:pt>
                <c:pt idx="19">
                  <c:v>48682.8</c:v>
                </c:pt>
                <c:pt idx="20">
                  <c:v>32327.3</c:v>
                </c:pt>
                <c:pt idx="21">
                  <c:v>46534.000000000007</c:v>
                </c:pt>
                <c:pt idx="22">
                  <c:v>30331.3</c:v>
                </c:pt>
                <c:pt idx="23">
                  <c:v>59062.3</c:v>
                </c:pt>
                <c:pt idx="24">
                  <c:v>39938.133333333339</c:v>
                </c:pt>
                <c:pt idx="25">
                  <c:v>42701.133333333339</c:v>
                </c:pt>
                <c:pt idx="26">
                  <c:v>43084.466666666674</c:v>
                </c:pt>
                <c:pt idx="27">
                  <c:v>43801.716666666674</c:v>
                </c:pt>
                <c:pt idx="28">
                  <c:v>43339.466666666667</c:v>
                </c:pt>
                <c:pt idx="29">
                  <c:v>43608.3</c:v>
                </c:pt>
                <c:pt idx="30">
                  <c:v>36457.300000000003</c:v>
                </c:pt>
                <c:pt idx="31">
                  <c:v>125542</c:v>
                </c:pt>
                <c:pt idx="32">
                  <c:v>45708.05</c:v>
                </c:pt>
                <c:pt idx="33">
                  <c:v>6686.8271999999997</c:v>
                </c:pt>
                <c:pt idx="34">
                  <c:v>49605.883333333339</c:v>
                </c:pt>
                <c:pt idx="35">
                  <c:v>40455.966666666667</c:v>
                </c:pt>
                <c:pt idx="36">
                  <c:v>46550.133333333331</c:v>
                </c:pt>
                <c:pt idx="37">
                  <c:v>49774.716666666667</c:v>
                </c:pt>
                <c:pt idx="38">
                  <c:v>47561.716666666674</c:v>
                </c:pt>
                <c:pt idx="39">
                  <c:v>47334.919133333337</c:v>
                </c:pt>
                <c:pt idx="40">
                  <c:v>45575.233333333337</c:v>
                </c:pt>
                <c:pt idx="41">
                  <c:v>42058.3</c:v>
                </c:pt>
                <c:pt idx="42">
                  <c:v>42467.55</c:v>
                </c:pt>
                <c:pt idx="43">
                  <c:v>34091.300000000003</c:v>
                </c:pt>
              </c:numCache>
            </c:numRef>
          </c:val>
          <c:extLst>
            <c:ext xmlns:c16="http://schemas.microsoft.com/office/drawing/2014/chart" uri="{C3380CC4-5D6E-409C-BE32-E72D297353CC}">
              <c16:uniqueId val="{00000006-BADE-425E-A9E3-5AB6A4BE6EC8}"/>
            </c:ext>
          </c:extLst>
        </c:ser>
        <c:dLbls>
          <c:showLegendKey val="0"/>
          <c:showVal val="0"/>
          <c:showCatName val="0"/>
          <c:showSerName val="0"/>
          <c:showPercent val="0"/>
          <c:showBubbleSize val="0"/>
        </c:dLbls>
        <c:gapWidth val="219"/>
        <c:overlap val="-27"/>
        <c:axId val="990059952"/>
        <c:axId val="990056592"/>
      </c:barChart>
      <c:catAx>
        <c:axId val="9900599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0056592"/>
        <c:crosses val="autoZero"/>
        <c:auto val="1"/>
        <c:lblAlgn val="ctr"/>
        <c:lblOffset val="100"/>
        <c:noMultiLvlLbl val="0"/>
      </c:catAx>
      <c:valAx>
        <c:axId val="9900565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00599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[MIS SHEET-JULY-26.xlsx]Report-2!PivotTable4</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'Report-2'!$B$3</c:f>
              <c:strCache>
                <c:ptCount val="1"/>
                <c:pt idx="0">
                  <c:v>FUEL EXPENSE.</c:v>
                </c:pt>
              </c:strCache>
            </c:strRef>
          </c:tx>
          <c:spPr>
            <a:solidFill>
              <a:schemeClr val="accent1"/>
            </a:solidFill>
            <a:ln>
              <a:noFill/>
            </a:ln>
            <a:effectLst/>
          </c:spPr>
          <c:invertIfNegative val="0"/>
          <c:cat>
            <c:strRef>
              <c:f>'Report-2'!$A$4:$A$48</c:f>
              <c:strCache>
                <c:ptCount val="44"/>
                <c:pt idx="0">
                  <c:v>HR 26 FZ 8882</c:v>
                </c:pt>
                <c:pt idx="1">
                  <c:v>HR 55 AX 1428</c:v>
                </c:pt>
                <c:pt idx="2">
                  <c:v>HR 55 AX 4866</c:v>
                </c:pt>
                <c:pt idx="3">
                  <c:v>HR 55 BA 3898</c:v>
                </c:pt>
                <c:pt idx="4">
                  <c:v>HR 55 BB 4206</c:v>
                </c:pt>
                <c:pt idx="5">
                  <c:v>HR 55 BD 8299</c:v>
                </c:pt>
                <c:pt idx="6">
                  <c:v>HR 55AG 1451</c:v>
                </c:pt>
                <c:pt idx="7">
                  <c:v>HR 55AG 3526</c:v>
                </c:pt>
                <c:pt idx="8">
                  <c:v>HR 55AG 5093</c:v>
                </c:pt>
                <c:pt idx="9">
                  <c:v>HR 55AH 8939</c:v>
                </c:pt>
                <c:pt idx="10">
                  <c:v>HR 55AH1982</c:v>
                </c:pt>
                <c:pt idx="11">
                  <c:v>HR 55AX 1194</c:v>
                </c:pt>
                <c:pt idx="12">
                  <c:v>HR 55BC 1637</c:v>
                </c:pt>
                <c:pt idx="13">
                  <c:v>HR 66 C 0944</c:v>
                </c:pt>
                <c:pt idx="14">
                  <c:v>HR 66 C 2373</c:v>
                </c:pt>
                <c:pt idx="15">
                  <c:v>HR 66 C 2856</c:v>
                </c:pt>
                <c:pt idx="16">
                  <c:v>HR 66C 0292</c:v>
                </c:pt>
                <c:pt idx="17">
                  <c:v>HR 66C 2987</c:v>
                </c:pt>
                <c:pt idx="18">
                  <c:v>HR 66D 1538</c:v>
                </c:pt>
                <c:pt idx="19">
                  <c:v>HR26 EW 5895</c:v>
                </c:pt>
                <c:pt idx="20">
                  <c:v>HR-26FB-7616</c:v>
                </c:pt>
                <c:pt idx="21">
                  <c:v>HR47E 9469</c:v>
                </c:pt>
                <c:pt idx="22">
                  <c:v>HR-47F-1040</c:v>
                </c:pt>
                <c:pt idx="23">
                  <c:v>HR-47F-5680</c:v>
                </c:pt>
                <c:pt idx="24">
                  <c:v>HR-55AB-0471</c:v>
                </c:pt>
                <c:pt idx="25">
                  <c:v>HR-55AC-2477</c:v>
                </c:pt>
                <c:pt idx="26">
                  <c:v>HR-55AC-8668</c:v>
                </c:pt>
                <c:pt idx="27">
                  <c:v>HR-55AF-5134</c:v>
                </c:pt>
                <c:pt idx="28">
                  <c:v>HR-55AG-4440</c:v>
                </c:pt>
                <c:pt idx="29">
                  <c:v>HR-55AH-3603</c:v>
                </c:pt>
                <c:pt idx="30">
                  <c:v>HR-55AK-5787</c:v>
                </c:pt>
                <c:pt idx="31">
                  <c:v>HR-55AL-1846</c:v>
                </c:pt>
                <c:pt idx="32">
                  <c:v>HR-55-AL-5921</c:v>
                </c:pt>
                <c:pt idx="33">
                  <c:v>HR55AL8495</c:v>
                </c:pt>
                <c:pt idx="34">
                  <c:v>HR-55AR-1096</c:v>
                </c:pt>
                <c:pt idx="35">
                  <c:v>HR55AZ 3560</c:v>
                </c:pt>
                <c:pt idx="36">
                  <c:v>HR55AZ3356</c:v>
                </c:pt>
                <c:pt idx="37">
                  <c:v>HR-66B-4572</c:v>
                </c:pt>
                <c:pt idx="38">
                  <c:v>HR-66C-8938</c:v>
                </c:pt>
                <c:pt idx="39">
                  <c:v>ONLY DRIVER- SU</c:v>
                </c:pt>
                <c:pt idx="40">
                  <c:v>ONLY DRIVER-CH</c:v>
                </c:pt>
                <c:pt idx="41">
                  <c:v>ONLY DRIVER-DAL</c:v>
                </c:pt>
                <c:pt idx="42">
                  <c:v>ONLY DRIVER-DI</c:v>
                </c:pt>
                <c:pt idx="43">
                  <c:v>UK03TA2522</c:v>
                </c:pt>
              </c:strCache>
            </c:strRef>
          </c:cat>
          <c:val>
            <c:numRef>
              <c:f>'Report-2'!$B$4:$B$48</c:f>
              <c:numCache>
                <c:formatCode>General</c:formatCode>
                <c:ptCount val="44"/>
                <c:pt idx="0">
                  <c:v>12150.46</c:v>
                </c:pt>
                <c:pt idx="1">
                  <c:v>11532.64</c:v>
                </c:pt>
                <c:pt idx="2">
                  <c:v>20079.150000000001</c:v>
                </c:pt>
                <c:pt idx="3">
                  <c:v>20696.97</c:v>
                </c:pt>
                <c:pt idx="4">
                  <c:v>39594.959999999999</c:v>
                </c:pt>
                <c:pt idx="5">
                  <c:v>17298.96</c:v>
                </c:pt>
                <c:pt idx="6">
                  <c:v>18946.48</c:v>
                </c:pt>
                <c:pt idx="7">
                  <c:v>34597.919999999998</c:v>
                </c:pt>
                <c:pt idx="8">
                  <c:v>28419.72</c:v>
                </c:pt>
                <c:pt idx="9">
                  <c:v>12459.369999999999</c:v>
                </c:pt>
                <c:pt idx="10">
                  <c:v>29074.560000000001</c:v>
                </c:pt>
                <c:pt idx="11">
                  <c:v>18946.48</c:v>
                </c:pt>
                <c:pt idx="12">
                  <c:v>30582.09</c:v>
                </c:pt>
                <c:pt idx="13">
                  <c:v>29830</c:v>
                </c:pt>
                <c:pt idx="14">
                  <c:v>17765</c:v>
                </c:pt>
                <c:pt idx="15">
                  <c:v>25175</c:v>
                </c:pt>
                <c:pt idx="16">
                  <c:v>20874</c:v>
                </c:pt>
                <c:pt idx="17">
                  <c:v>9690</c:v>
                </c:pt>
                <c:pt idx="18">
                  <c:v>19475</c:v>
                </c:pt>
                <c:pt idx="19">
                  <c:v>13900.95</c:v>
                </c:pt>
                <c:pt idx="20">
                  <c:v>0</c:v>
                </c:pt>
                <c:pt idx="21">
                  <c:v>28690</c:v>
                </c:pt>
                <c:pt idx="22">
                  <c:v>35009.800000000003</c:v>
                </c:pt>
                <c:pt idx="23">
                  <c:v>28890</c:v>
                </c:pt>
                <c:pt idx="24">
                  <c:v>29758.329999999998</c:v>
                </c:pt>
                <c:pt idx="25">
                  <c:v>24918.739999999998</c:v>
                </c:pt>
                <c:pt idx="26">
                  <c:v>41085.03</c:v>
                </c:pt>
                <c:pt idx="27">
                  <c:v>23336.16</c:v>
                </c:pt>
                <c:pt idx="28">
                  <c:v>28110.81</c:v>
                </c:pt>
                <c:pt idx="29">
                  <c:v>28316.75</c:v>
                </c:pt>
                <c:pt idx="30">
                  <c:v>10042.200000000001</c:v>
                </c:pt>
                <c:pt idx="31">
                  <c:v>60491</c:v>
                </c:pt>
                <c:pt idx="32">
                  <c:v>25935</c:v>
                </c:pt>
                <c:pt idx="33">
                  <c:v>19564.3</c:v>
                </c:pt>
                <c:pt idx="34">
                  <c:v>26463.29</c:v>
                </c:pt>
                <c:pt idx="35">
                  <c:v>9372.7199999999993</c:v>
                </c:pt>
                <c:pt idx="36">
                  <c:v>26587.920000000002</c:v>
                </c:pt>
                <c:pt idx="37">
                  <c:v>27835</c:v>
                </c:pt>
                <c:pt idx="38">
                  <c:v>30067.239999999998</c:v>
                </c:pt>
                <c:pt idx="39">
                  <c:v>0</c:v>
                </c:pt>
                <c:pt idx="40">
                  <c:v>0</c:v>
                </c:pt>
                <c:pt idx="41">
                  <c:v>0</c:v>
                </c:pt>
                <c:pt idx="42">
                  <c:v>0</c:v>
                </c:pt>
                <c:pt idx="43">
                  <c:v>0</c:v>
                </c:pt>
              </c:numCache>
            </c:numRef>
          </c:val>
          <c:extLst>
            <c:ext xmlns:c16="http://schemas.microsoft.com/office/drawing/2014/chart" uri="{C3380CC4-5D6E-409C-BE32-E72D297353CC}">
              <c16:uniqueId val="{00000000-84DB-4F38-9AEA-1EF509B42C81}"/>
            </c:ext>
          </c:extLst>
        </c:ser>
        <c:ser>
          <c:idx val="1"/>
          <c:order val="1"/>
          <c:tx>
            <c:strRef>
              <c:f>'Report-2'!$C$3</c:f>
              <c:strCache>
                <c:ptCount val="1"/>
                <c:pt idx="0">
                  <c:v>VEHICLE MAINTENANCE.</c:v>
                </c:pt>
              </c:strCache>
            </c:strRef>
          </c:tx>
          <c:spPr>
            <a:solidFill>
              <a:schemeClr val="accent2"/>
            </a:solidFill>
            <a:ln>
              <a:noFill/>
            </a:ln>
            <a:effectLst/>
          </c:spPr>
          <c:invertIfNegative val="0"/>
          <c:cat>
            <c:strRef>
              <c:f>'Report-2'!$A$4:$A$48</c:f>
              <c:strCache>
                <c:ptCount val="44"/>
                <c:pt idx="0">
                  <c:v>HR 26 FZ 8882</c:v>
                </c:pt>
                <c:pt idx="1">
                  <c:v>HR 55 AX 1428</c:v>
                </c:pt>
                <c:pt idx="2">
                  <c:v>HR 55 AX 4866</c:v>
                </c:pt>
                <c:pt idx="3">
                  <c:v>HR 55 BA 3898</c:v>
                </c:pt>
                <c:pt idx="4">
                  <c:v>HR 55 BB 4206</c:v>
                </c:pt>
                <c:pt idx="5">
                  <c:v>HR 55 BD 8299</c:v>
                </c:pt>
                <c:pt idx="6">
                  <c:v>HR 55AG 1451</c:v>
                </c:pt>
                <c:pt idx="7">
                  <c:v>HR 55AG 3526</c:v>
                </c:pt>
                <c:pt idx="8">
                  <c:v>HR 55AG 5093</c:v>
                </c:pt>
                <c:pt idx="9">
                  <c:v>HR 55AH 8939</c:v>
                </c:pt>
                <c:pt idx="10">
                  <c:v>HR 55AH1982</c:v>
                </c:pt>
                <c:pt idx="11">
                  <c:v>HR 55AX 1194</c:v>
                </c:pt>
                <c:pt idx="12">
                  <c:v>HR 55BC 1637</c:v>
                </c:pt>
                <c:pt idx="13">
                  <c:v>HR 66 C 0944</c:v>
                </c:pt>
                <c:pt idx="14">
                  <c:v>HR 66 C 2373</c:v>
                </c:pt>
                <c:pt idx="15">
                  <c:v>HR 66 C 2856</c:v>
                </c:pt>
                <c:pt idx="16">
                  <c:v>HR 66C 0292</c:v>
                </c:pt>
                <c:pt idx="17">
                  <c:v>HR 66C 2987</c:v>
                </c:pt>
                <c:pt idx="18">
                  <c:v>HR 66D 1538</c:v>
                </c:pt>
                <c:pt idx="19">
                  <c:v>HR26 EW 5895</c:v>
                </c:pt>
                <c:pt idx="20">
                  <c:v>HR-26FB-7616</c:v>
                </c:pt>
                <c:pt idx="21">
                  <c:v>HR47E 9469</c:v>
                </c:pt>
                <c:pt idx="22">
                  <c:v>HR-47F-1040</c:v>
                </c:pt>
                <c:pt idx="23">
                  <c:v>HR-47F-5680</c:v>
                </c:pt>
                <c:pt idx="24">
                  <c:v>HR-55AB-0471</c:v>
                </c:pt>
                <c:pt idx="25">
                  <c:v>HR-55AC-2477</c:v>
                </c:pt>
                <c:pt idx="26">
                  <c:v>HR-55AC-8668</c:v>
                </c:pt>
                <c:pt idx="27">
                  <c:v>HR-55AF-5134</c:v>
                </c:pt>
                <c:pt idx="28">
                  <c:v>HR-55AG-4440</c:v>
                </c:pt>
                <c:pt idx="29">
                  <c:v>HR-55AH-3603</c:v>
                </c:pt>
                <c:pt idx="30">
                  <c:v>HR-55AK-5787</c:v>
                </c:pt>
                <c:pt idx="31">
                  <c:v>HR-55AL-1846</c:v>
                </c:pt>
                <c:pt idx="32">
                  <c:v>HR-55-AL-5921</c:v>
                </c:pt>
                <c:pt idx="33">
                  <c:v>HR55AL8495</c:v>
                </c:pt>
                <c:pt idx="34">
                  <c:v>HR-55AR-1096</c:v>
                </c:pt>
                <c:pt idx="35">
                  <c:v>HR55AZ 3560</c:v>
                </c:pt>
                <c:pt idx="36">
                  <c:v>HR55AZ3356</c:v>
                </c:pt>
                <c:pt idx="37">
                  <c:v>HR-66B-4572</c:v>
                </c:pt>
                <c:pt idx="38">
                  <c:v>HR-66C-8938</c:v>
                </c:pt>
                <c:pt idx="39">
                  <c:v>ONLY DRIVER- SU</c:v>
                </c:pt>
                <c:pt idx="40">
                  <c:v>ONLY DRIVER-CH</c:v>
                </c:pt>
                <c:pt idx="41">
                  <c:v>ONLY DRIVER-DAL</c:v>
                </c:pt>
                <c:pt idx="42">
                  <c:v>ONLY DRIVER-DI</c:v>
                </c:pt>
                <c:pt idx="43">
                  <c:v>UK03TA2522</c:v>
                </c:pt>
              </c:strCache>
            </c:strRef>
          </c:cat>
          <c:val>
            <c:numRef>
              <c:f>'Report-2'!$C$4:$C$48</c:f>
              <c:numCache>
                <c:formatCode>General</c:formatCode>
                <c:ptCount val="44"/>
                <c:pt idx="1">
                  <c:v>140</c:v>
                </c:pt>
                <c:pt idx="3">
                  <c:v>60</c:v>
                </c:pt>
                <c:pt idx="6">
                  <c:v>478</c:v>
                </c:pt>
                <c:pt idx="7">
                  <c:v>90</c:v>
                </c:pt>
                <c:pt idx="10">
                  <c:v>99</c:v>
                </c:pt>
                <c:pt idx="11">
                  <c:v>130</c:v>
                </c:pt>
                <c:pt idx="15">
                  <c:v>510</c:v>
                </c:pt>
                <c:pt idx="21">
                  <c:v>100</c:v>
                </c:pt>
                <c:pt idx="24">
                  <c:v>420</c:v>
                </c:pt>
                <c:pt idx="25">
                  <c:v>700</c:v>
                </c:pt>
                <c:pt idx="26">
                  <c:v>2440</c:v>
                </c:pt>
                <c:pt idx="27">
                  <c:v>170</c:v>
                </c:pt>
                <c:pt idx="32">
                  <c:v>700</c:v>
                </c:pt>
                <c:pt idx="33">
                  <c:v>570</c:v>
                </c:pt>
                <c:pt idx="36">
                  <c:v>70</c:v>
                </c:pt>
                <c:pt idx="37">
                  <c:v>99</c:v>
                </c:pt>
                <c:pt idx="38">
                  <c:v>240</c:v>
                </c:pt>
              </c:numCache>
            </c:numRef>
          </c:val>
          <c:extLst>
            <c:ext xmlns:c16="http://schemas.microsoft.com/office/drawing/2014/chart" uri="{C3380CC4-5D6E-409C-BE32-E72D297353CC}">
              <c16:uniqueId val="{00000001-84DB-4F38-9AEA-1EF509B42C81}"/>
            </c:ext>
          </c:extLst>
        </c:ser>
        <c:ser>
          <c:idx val="2"/>
          <c:order val="2"/>
          <c:tx>
            <c:strRef>
              <c:f>'Report-2'!$D$3</c:f>
              <c:strCache>
                <c:ptCount val="1"/>
                <c:pt idx="0">
                  <c:v>STATE TAX.</c:v>
                </c:pt>
              </c:strCache>
            </c:strRef>
          </c:tx>
          <c:spPr>
            <a:solidFill>
              <a:schemeClr val="accent3"/>
            </a:solidFill>
            <a:ln>
              <a:noFill/>
            </a:ln>
            <a:effectLst/>
          </c:spPr>
          <c:invertIfNegative val="0"/>
          <c:cat>
            <c:strRef>
              <c:f>'Report-2'!$A$4:$A$48</c:f>
              <c:strCache>
                <c:ptCount val="44"/>
                <c:pt idx="0">
                  <c:v>HR 26 FZ 8882</c:v>
                </c:pt>
                <c:pt idx="1">
                  <c:v>HR 55 AX 1428</c:v>
                </c:pt>
                <c:pt idx="2">
                  <c:v>HR 55 AX 4866</c:v>
                </c:pt>
                <c:pt idx="3">
                  <c:v>HR 55 BA 3898</c:v>
                </c:pt>
                <c:pt idx="4">
                  <c:v>HR 55 BB 4206</c:v>
                </c:pt>
                <c:pt idx="5">
                  <c:v>HR 55 BD 8299</c:v>
                </c:pt>
                <c:pt idx="6">
                  <c:v>HR 55AG 1451</c:v>
                </c:pt>
                <c:pt idx="7">
                  <c:v>HR 55AG 3526</c:v>
                </c:pt>
                <c:pt idx="8">
                  <c:v>HR 55AG 5093</c:v>
                </c:pt>
                <c:pt idx="9">
                  <c:v>HR 55AH 8939</c:v>
                </c:pt>
                <c:pt idx="10">
                  <c:v>HR 55AH1982</c:v>
                </c:pt>
                <c:pt idx="11">
                  <c:v>HR 55AX 1194</c:v>
                </c:pt>
                <c:pt idx="12">
                  <c:v>HR 55BC 1637</c:v>
                </c:pt>
                <c:pt idx="13">
                  <c:v>HR 66 C 0944</c:v>
                </c:pt>
                <c:pt idx="14">
                  <c:v>HR 66 C 2373</c:v>
                </c:pt>
                <c:pt idx="15">
                  <c:v>HR 66 C 2856</c:v>
                </c:pt>
                <c:pt idx="16">
                  <c:v>HR 66C 0292</c:v>
                </c:pt>
                <c:pt idx="17">
                  <c:v>HR 66C 2987</c:v>
                </c:pt>
                <c:pt idx="18">
                  <c:v>HR 66D 1538</c:v>
                </c:pt>
                <c:pt idx="19">
                  <c:v>HR26 EW 5895</c:v>
                </c:pt>
                <c:pt idx="20">
                  <c:v>HR-26FB-7616</c:v>
                </c:pt>
                <c:pt idx="21">
                  <c:v>HR47E 9469</c:v>
                </c:pt>
                <c:pt idx="22">
                  <c:v>HR-47F-1040</c:v>
                </c:pt>
                <c:pt idx="23">
                  <c:v>HR-47F-5680</c:v>
                </c:pt>
                <c:pt idx="24">
                  <c:v>HR-55AB-0471</c:v>
                </c:pt>
                <c:pt idx="25">
                  <c:v>HR-55AC-2477</c:v>
                </c:pt>
                <c:pt idx="26">
                  <c:v>HR-55AC-8668</c:v>
                </c:pt>
                <c:pt idx="27">
                  <c:v>HR-55AF-5134</c:v>
                </c:pt>
                <c:pt idx="28">
                  <c:v>HR-55AG-4440</c:v>
                </c:pt>
                <c:pt idx="29">
                  <c:v>HR-55AH-3603</c:v>
                </c:pt>
                <c:pt idx="30">
                  <c:v>HR-55AK-5787</c:v>
                </c:pt>
                <c:pt idx="31">
                  <c:v>HR-55AL-1846</c:v>
                </c:pt>
                <c:pt idx="32">
                  <c:v>HR-55-AL-5921</c:v>
                </c:pt>
                <c:pt idx="33">
                  <c:v>HR55AL8495</c:v>
                </c:pt>
                <c:pt idx="34">
                  <c:v>HR-55AR-1096</c:v>
                </c:pt>
                <c:pt idx="35">
                  <c:v>HR55AZ 3560</c:v>
                </c:pt>
                <c:pt idx="36">
                  <c:v>HR55AZ3356</c:v>
                </c:pt>
                <c:pt idx="37">
                  <c:v>HR-66B-4572</c:v>
                </c:pt>
                <c:pt idx="38">
                  <c:v>HR-66C-8938</c:v>
                </c:pt>
                <c:pt idx="39">
                  <c:v>ONLY DRIVER- SU</c:v>
                </c:pt>
                <c:pt idx="40">
                  <c:v>ONLY DRIVER-CH</c:v>
                </c:pt>
                <c:pt idx="41">
                  <c:v>ONLY DRIVER-DAL</c:v>
                </c:pt>
                <c:pt idx="42">
                  <c:v>ONLY DRIVER-DI</c:v>
                </c:pt>
                <c:pt idx="43">
                  <c:v>UK03TA2522</c:v>
                </c:pt>
              </c:strCache>
            </c:strRef>
          </c:cat>
          <c:val>
            <c:numRef>
              <c:f>'Report-2'!$D$4:$D$48</c:f>
              <c:numCache>
                <c:formatCode>General</c:formatCode>
                <c:ptCount val="44"/>
                <c:pt idx="0">
                  <c:v>0</c:v>
                </c:pt>
                <c:pt idx="1">
                  <c:v>0</c:v>
                </c:pt>
                <c:pt idx="2">
                  <c:v>490</c:v>
                </c:pt>
                <c:pt idx="3">
                  <c:v>0</c:v>
                </c:pt>
                <c:pt idx="4">
                  <c:v>671</c:v>
                </c:pt>
                <c:pt idx="5">
                  <c:v>360</c:v>
                </c:pt>
                <c:pt idx="6">
                  <c:v>1530</c:v>
                </c:pt>
                <c:pt idx="7">
                  <c:v>0</c:v>
                </c:pt>
                <c:pt idx="8">
                  <c:v>448</c:v>
                </c:pt>
                <c:pt idx="9">
                  <c:v>0</c:v>
                </c:pt>
                <c:pt idx="10">
                  <c:v>0</c:v>
                </c:pt>
                <c:pt idx="11">
                  <c:v>0</c:v>
                </c:pt>
                <c:pt idx="12">
                  <c:v>6917</c:v>
                </c:pt>
                <c:pt idx="13">
                  <c:v>2016</c:v>
                </c:pt>
                <c:pt idx="14">
                  <c:v>0</c:v>
                </c:pt>
                <c:pt idx="15">
                  <c:v>10265</c:v>
                </c:pt>
                <c:pt idx="16">
                  <c:v>0</c:v>
                </c:pt>
                <c:pt idx="17">
                  <c:v>1791</c:v>
                </c:pt>
                <c:pt idx="18">
                  <c:v>672</c:v>
                </c:pt>
                <c:pt idx="19">
                  <c:v>0</c:v>
                </c:pt>
                <c:pt idx="20">
                  <c:v>0</c:v>
                </c:pt>
                <c:pt idx="21">
                  <c:v>6917</c:v>
                </c:pt>
                <c:pt idx="22">
                  <c:v>1530</c:v>
                </c:pt>
                <c:pt idx="23">
                  <c:v>0</c:v>
                </c:pt>
                <c:pt idx="24">
                  <c:v>4241</c:v>
                </c:pt>
                <c:pt idx="25">
                  <c:v>0</c:v>
                </c:pt>
                <c:pt idx="26">
                  <c:v>0</c:v>
                </c:pt>
                <c:pt idx="27">
                  <c:v>4480</c:v>
                </c:pt>
                <c:pt idx="28">
                  <c:v>4241</c:v>
                </c:pt>
                <c:pt idx="29">
                  <c:v>0</c:v>
                </c:pt>
                <c:pt idx="30">
                  <c:v>360</c:v>
                </c:pt>
                <c:pt idx="31">
                  <c:v>9690</c:v>
                </c:pt>
                <c:pt idx="32">
                  <c:v>6917</c:v>
                </c:pt>
                <c:pt idx="33">
                  <c:v>7905</c:v>
                </c:pt>
                <c:pt idx="34">
                  <c:v>170</c:v>
                </c:pt>
                <c:pt idx="35">
                  <c:v>0</c:v>
                </c:pt>
                <c:pt idx="36">
                  <c:v>0</c:v>
                </c:pt>
                <c:pt idx="37">
                  <c:v>0</c:v>
                </c:pt>
                <c:pt idx="38">
                  <c:v>0</c:v>
                </c:pt>
                <c:pt idx="39">
                  <c:v>0</c:v>
                </c:pt>
                <c:pt idx="40">
                  <c:v>0</c:v>
                </c:pt>
                <c:pt idx="41">
                  <c:v>0</c:v>
                </c:pt>
                <c:pt idx="42">
                  <c:v>0</c:v>
                </c:pt>
                <c:pt idx="43">
                  <c:v>0</c:v>
                </c:pt>
              </c:numCache>
            </c:numRef>
          </c:val>
          <c:extLst>
            <c:ext xmlns:c16="http://schemas.microsoft.com/office/drawing/2014/chart" uri="{C3380CC4-5D6E-409C-BE32-E72D297353CC}">
              <c16:uniqueId val="{00000002-84DB-4F38-9AEA-1EF509B42C81}"/>
            </c:ext>
          </c:extLst>
        </c:ser>
        <c:ser>
          <c:idx val="3"/>
          <c:order val="3"/>
          <c:tx>
            <c:strRef>
              <c:f>'Report-2'!$E$3</c:f>
              <c:strCache>
                <c:ptCount val="1"/>
                <c:pt idx="0">
                  <c:v>FAST TAG/MCD/PARKING.</c:v>
                </c:pt>
              </c:strCache>
            </c:strRef>
          </c:tx>
          <c:spPr>
            <a:solidFill>
              <a:schemeClr val="accent4"/>
            </a:solidFill>
            <a:ln>
              <a:noFill/>
            </a:ln>
            <a:effectLst/>
          </c:spPr>
          <c:invertIfNegative val="0"/>
          <c:cat>
            <c:strRef>
              <c:f>'Report-2'!$A$4:$A$48</c:f>
              <c:strCache>
                <c:ptCount val="44"/>
                <c:pt idx="0">
                  <c:v>HR 26 FZ 8882</c:v>
                </c:pt>
                <c:pt idx="1">
                  <c:v>HR 55 AX 1428</c:v>
                </c:pt>
                <c:pt idx="2">
                  <c:v>HR 55 AX 4866</c:v>
                </c:pt>
                <c:pt idx="3">
                  <c:v>HR 55 BA 3898</c:v>
                </c:pt>
                <c:pt idx="4">
                  <c:v>HR 55 BB 4206</c:v>
                </c:pt>
                <c:pt idx="5">
                  <c:v>HR 55 BD 8299</c:v>
                </c:pt>
                <c:pt idx="6">
                  <c:v>HR 55AG 1451</c:v>
                </c:pt>
                <c:pt idx="7">
                  <c:v>HR 55AG 3526</c:v>
                </c:pt>
                <c:pt idx="8">
                  <c:v>HR 55AG 5093</c:v>
                </c:pt>
                <c:pt idx="9">
                  <c:v>HR 55AH 8939</c:v>
                </c:pt>
                <c:pt idx="10">
                  <c:v>HR 55AH1982</c:v>
                </c:pt>
                <c:pt idx="11">
                  <c:v>HR 55AX 1194</c:v>
                </c:pt>
                <c:pt idx="12">
                  <c:v>HR 55BC 1637</c:v>
                </c:pt>
                <c:pt idx="13">
                  <c:v>HR 66 C 0944</c:v>
                </c:pt>
                <c:pt idx="14">
                  <c:v>HR 66 C 2373</c:v>
                </c:pt>
                <c:pt idx="15">
                  <c:v>HR 66 C 2856</c:v>
                </c:pt>
                <c:pt idx="16">
                  <c:v>HR 66C 0292</c:v>
                </c:pt>
                <c:pt idx="17">
                  <c:v>HR 66C 2987</c:v>
                </c:pt>
                <c:pt idx="18">
                  <c:v>HR 66D 1538</c:v>
                </c:pt>
                <c:pt idx="19">
                  <c:v>HR26 EW 5895</c:v>
                </c:pt>
                <c:pt idx="20">
                  <c:v>HR-26FB-7616</c:v>
                </c:pt>
                <c:pt idx="21">
                  <c:v>HR47E 9469</c:v>
                </c:pt>
                <c:pt idx="22">
                  <c:v>HR-47F-1040</c:v>
                </c:pt>
                <c:pt idx="23">
                  <c:v>HR-47F-5680</c:v>
                </c:pt>
                <c:pt idx="24">
                  <c:v>HR-55AB-0471</c:v>
                </c:pt>
                <c:pt idx="25">
                  <c:v>HR-55AC-2477</c:v>
                </c:pt>
                <c:pt idx="26">
                  <c:v>HR-55AC-8668</c:v>
                </c:pt>
                <c:pt idx="27">
                  <c:v>HR-55AF-5134</c:v>
                </c:pt>
                <c:pt idx="28">
                  <c:v>HR-55AG-4440</c:v>
                </c:pt>
                <c:pt idx="29">
                  <c:v>HR-55AH-3603</c:v>
                </c:pt>
                <c:pt idx="30">
                  <c:v>HR-55AK-5787</c:v>
                </c:pt>
                <c:pt idx="31">
                  <c:v>HR-55AL-1846</c:v>
                </c:pt>
                <c:pt idx="32">
                  <c:v>HR-55-AL-5921</c:v>
                </c:pt>
                <c:pt idx="33">
                  <c:v>HR55AL8495</c:v>
                </c:pt>
                <c:pt idx="34">
                  <c:v>HR-55AR-1096</c:v>
                </c:pt>
                <c:pt idx="35">
                  <c:v>HR55AZ 3560</c:v>
                </c:pt>
                <c:pt idx="36">
                  <c:v>HR55AZ3356</c:v>
                </c:pt>
                <c:pt idx="37">
                  <c:v>HR-66B-4572</c:v>
                </c:pt>
                <c:pt idx="38">
                  <c:v>HR-66C-8938</c:v>
                </c:pt>
                <c:pt idx="39">
                  <c:v>ONLY DRIVER- SU</c:v>
                </c:pt>
                <c:pt idx="40">
                  <c:v>ONLY DRIVER-CH</c:v>
                </c:pt>
                <c:pt idx="41">
                  <c:v>ONLY DRIVER-DAL</c:v>
                </c:pt>
                <c:pt idx="42">
                  <c:v>ONLY DRIVER-DI</c:v>
                </c:pt>
                <c:pt idx="43">
                  <c:v>UK03TA2522</c:v>
                </c:pt>
              </c:strCache>
            </c:strRef>
          </c:cat>
          <c:val>
            <c:numRef>
              <c:f>'Report-2'!$E$4:$E$48</c:f>
              <c:numCache>
                <c:formatCode>General</c:formatCode>
                <c:ptCount val="44"/>
                <c:pt idx="0">
                  <c:v>1050</c:v>
                </c:pt>
                <c:pt idx="1">
                  <c:v>4175</c:v>
                </c:pt>
                <c:pt idx="2">
                  <c:v>5430</c:v>
                </c:pt>
                <c:pt idx="3">
                  <c:v>4820</c:v>
                </c:pt>
                <c:pt idx="4">
                  <c:v>12911</c:v>
                </c:pt>
                <c:pt idx="5">
                  <c:v>3580</c:v>
                </c:pt>
                <c:pt idx="6">
                  <c:v>3235</c:v>
                </c:pt>
                <c:pt idx="7">
                  <c:v>2520</c:v>
                </c:pt>
                <c:pt idx="8">
                  <c:v>8135</c:v>
                </c:pt>
                <c:pt idx="9">
                  <c:v>2389</c:v>
                </c:pt>
                <c:pt idx="10">
                  <c:v>11122</c:v>
                </c:pt>
                <c:pt idx="11">
                  <c:v>4305</c:v>
                </c:pt>
                <c:pt idx="12">
                  <c:v>7055</c:v>
                </c:pt>
                <c:pt idx="13">
                  <c:v>8310</c:v>
                </c:pt>
                <c:pt idx="14">
                  <c:v>10040</c:v>
                </c:pt>
                <c:pt idx="15">
                  <c:v>2625</c:v>
                </c:pt>
                <c:pt idx="16">
                  <c:v>1975</c:v>
                </c:pt>
                <c:pt idx="17">
                  <c:v>3295</c:v>
                </c:pt>
                <c:pt idx="18">
                  <c:v>5810</c:v>
                </c:pt>
                <c:pt idx="19">
                  <c:v>930</c:v>
                </c:pt>
                <c:pt idx="20">
                  <c:v>985</c:v>
                </c:pt>
                <c:pt idx="21">
                  <c:v>8515</c:v>
                </c:pt>
                <c:pt idx="22">
                  <c:v>5440</c:v>
                </c:pt>
                <c:pt idx="23">
                  <c:v>6250</c:v>
                </c:pt>
                <c:pt idx="24">
                  <c:v>8630</c:v>
                </c:pt>
                <c:pt idx="25">
                  <c:v>2500</c:v>
                </c:pt>
                <c:pt idx="26">
                  <c:v>11784</c:v>
                </c:pt>
                <c:pt idx="27">
                  <c:v>6960</c:v>
                </c:pt>
                <c:pt idx="28">
                  <c:v>11002</c:v>
                </c:pt>
                <c:pt idx="29">
                  <c:v>5817</c:v>
                </c:pt>
                <c:pt idx="30">
                  <c:v>6370</c:v>
                </c:pt>
                <c:pt idx="31">
                  <c:v>19375</c:v>
                </c:pt>
                <c:pt idx="32">
                  <c:v>4440</c:v>
                </c:pt>
                <c:pt idx="33">
                  <c:v>0</c:v>
                </c:pt>
                <c:pt idx="34">
                  <c:v>6210</c:v>
                </c:pt>
                <c:pt idx="35">
                  <c:v>670</c:v>
                </c:pt>
                <c:pt idx="36">
                  <c:v>6950</c:v>
                </c:pt>
                <c:pt idx="37">
                  <c:v>11370</c:v>
                </c:pt>
                <c:pt idx="38">
                  <c:v>6095</c:v>
                </c:pt>
                <c:pt idx="39">
                  <c:v>0</c:v>
                </c:pt>
                <c:pt idx="40">
                  <c:v>0</c:v>
                </c:pt>
                <c:pt idx="41">
                  <c:v>0</c:v>
                </c:pt>
                <c:pt idx="42">
                  <c:v>0</c:v>
                </c:pt>
                <c:pt idx="43">
                  <c:v>0</c:v>
                </c:pt>
              </c:numCache>
            </c:numRef>
          </c:val>
          <c:extLst>
            <c:ext xmlns:c16="http://schemas.microsoft.com/office/drawing/2014/chart" uri="{C3380CC4-5D6E-409C-BE32-E72D297353CC}">
              <c16:uniqueId val="{00000003-84DB-4F38-9AEA-1EF509B42C81}"/>
            </c:ext>
          </c:extLst>
        </c:ser>
        <c:ser>
          <c:idx val="4"/>
          <c:order val="4"/>
          <c:tx>
            <c:strRef>
              <c:f>'Report-2'!$F$3</c:f>
              <c:strCache>
                <c:ptCount val="1"/>
                <c:pt idx="0">
                  <c:v>RENT &amp; DEPRECIATION.</c:v>
                </c:pt>
              </c:strCache>
            </c:strRef>
          </c:tx>
          <c:spPr>
            <a:solidFill>
              <a:schemeClr val="accent5"/>
            </a:solidFill>
            <a:ln>
              <a:noFill/>
            </a:ln>
            <a:effectLst/>
          </c:spPr>
          <c:invertIfNegative val="0"/>
          <c:cat>
            <c:strRef>
              <c:f>'Report-2'!$A$4:$A$48</c:f>
              <c:strCache>
                <c:ptCount val="44"/>
                <c:pt idx="0">
                  <c:v>HR 26 FZ 8882</c:v>
                </c:pt>
                <c:pt idx="1">
                  <c:v>HR 55 AX 1428</c:v>
                </c:pt>
                <c:pt idx="2">
                  <c:v>HR 55 AX 4866</c:v>
                </c:pt>
                <c:pt idx="3">
                  <c:v>HR 55 BA 3898</c:v>
                </c:pt>
                <c:pt idx="4">
                  <c:v>HR 55 BB 4206</c:v>
                </c:pt>
                <c:pt idx="5">
                  <c:v>HR 55 BD 8299</c:v>
                </c:pt>
                <c:pt idx="6">
                  <c:v>HR 55AG 1451</c:v>
                </c:pt>
                <c:pt idx="7">
                  <c:v>HR 55AG 3526</c:v>
                </c:pt>
                <c:pt idx="8">
                  <c:v>HR 55AG 5093</c:v>
                </c:pt>
                <c:pt idx="9">
                  <c:v>HR 55AH 8939</c:v>
                </c:pt>
                <c:pt idx="10">
                  <c:v>HR 55AH1982</c:v>
                </c:pt>
                <c:pt idx="11">
                  <c:v>HR 55AX 1194</c:v>
                </c:pt>
                <c:pt idx="12">
                  <c:v>HR 55BC 1637</c:v>
                </c:pt>
                <c:pt idx="13">
                  <c:v>HR 66 C 0944</c:v>
                </c:pt>
                <c:pt idx="14">
                  <c:v>HR 66 C 2373</c:v>
                </c:pt>
                <c:pt idx="15">
                  <c:v>HR 66 C 2856</c:v>
                </c:pt>
                <c:pt idx="16">
                  <c:v>HR 66C 0292</c:v>
                </c:pt>
                <c:pt idx="17">
                  <c:v>HR 66C 2987</c:v>
                </c:pt>
                <c:pt idx="18">
                  <c:v>HR 66D 1538</c:v>
                </c:pt>
                <c:pt idx="19">
                  <c:v>HR26 EW 5895</c:v>
                </c:pt>
                <c:pt idx="20">
                  <c:v>HR-26FB-7616</c:v>
                </c:pt>
                <c:pt idx="21">
                  <c:v>HR47E 9469</c:v>
                </c:pt>
                <c:pt idx="22">
                  <c:v>HR-47F-1040</c:v>
                </c:pt>
                <c:pt idx="23">
                  <c:v>HR-47F-5680</c:v>
                </c:pt>
                <c:pt idx="24">
                  <c:v>HR-55AB-0471</c:v>
                </c:pt>
                <c:pt idx="25">
                  <c:v>HR-55AC-2477</c:v>
                </c:pt>
                <c:pt idx="26">
                  <c:v>HR-55AC-8668</c:v>
                </c:pt>
                <c:pt idx="27">
                  <c:v>HR-55AF-5134</c:v>
                </c:pt>
                <c:pt idx="28">
                  <c:v>HR-55AG-4440</c:v>
                </c:pt>
                <c:pt idx="29">
                  <c:v>HR-55AH-3603</c:v>
                </c:pt>
                <c:pt idx="30">
                  <c:v>HR-55AK-5787</c:v>
                </c:pt>
                <c:pt idx="31">
                  <c:v>HR-55AL-1846</c:v>
                </c:pt>
                <c:pt idx="32">
                  <c:v>HR-55-AL-5921</c:v>
                </c:pt>
                <c:pt idx="33">
                  <c:v>HR55AL8495</c:v>
                </c:pt>
                <c:pt idx="34">
                  <c:v>HR-55AR-1096</c:v>
                </c:pt>
                <c:pt idx="35">
                  <c:v>HR55AZ 3560</c:v>
                </c:pt>
                <c:pt idx="36">
                  <c:v>HR55AZ3356</c:v>
                </c:pt>
                <c:pt idx="37">
                  <c:v>HR-66B-4572</c:v>
                </c:pt>
                <c:pt idx="38">
                  <c:v>HR-66C-8938</c:v>
                </c:pt>
                <c:pt idx="39">
                  <c:v>ONLY DRIVER- SU</c:v>
                </c:pt>
                <c:pt idx="40">
                  <c:v>ONLY DRIVER-CH</c:v>
                </c:pt>
                <c:pt idx="41">
                  <c:v>ONLY DRIVER-DAL</c:v>
                </c:pt>
                <c:pt idx="42">
                  <c:v>ONLY DRIVER-DI</c:v>
                </c:pt>
                <c:pt idx="43">
                  <c:v>UK03TA2522</c:v>
                </c:pt>
              </c:strCache>
            </c:strRef>
          </c:cat>
          <c:val>
            <c:numRef>
              <c:f>'Report-2'!$F$4:$F$48</c:f>
              <c:numCache>
                <c:formatCode>General</c:formatCode>
                <c:ptCount val="44"/>
                <c:pt idx="0">
                  <c:v>45035</c:v>
                </c:pt>
                <c:pt idx="1">
                  <c:v>55000</c:v>
                </c:pt>
                <c:pt idx="2">
                  <c:v>35000</c:v>
                </c:pt>
                <c:pt idx="3">
                  <c:v>21320</c:v>
                </c:pt>
                <c:pt idx="4">
                  <c:v>66428</c:v>
                </c:pt>
                <c:pt idx="5">
                  <c:v>46546</c:v>
                </c:pt>
                <c:pt idx="6">
                  <c:v>0</c:v>
                </c:pt>
                <c:pt idx="7">
                  <c:v>0</c:v>
                </c:pt>
                <c:pt idx="8">
                  <c:v>0</c:v>
                </c:pt>
                <c:pt idx="9">
                  <c:v>0</c:v>
                </c:pt>
                <c:pt idx="10">
                  <c:v>0</c:v>
                </c:pt>
                <c:pt idx="11">
                  <c:v>35000</c:v>
                </c:pt>
                <c:pt idx="12">
                  <c:v>67960</c:v>
                </c:pt>
                <c:pt idx="13">
                  <c:v>59540</c:v>
                </c:pt>
                <c:pt idx="14">
                  <c:v>53000</c:v>
                </c:pt>
                <c:pt idx="15">
                  <c:v>51395</c:v>
                </c:pt>
                <c:pt idx="16">
                  <c:v>55000</c:v>
                </c:pt>
                <c:pt idx="17">
                  <c:v>53000</c:v>
                </c:pt>
                <c:pt idx="18">
                  <c:v>55000</c:v>
                </c:pt>
                <c:pt idx="19">
                  <c:v>30000</c:v>
                </c:pt>
                <c:pt idx="20">
                  <c:v>68000</c:v>
                </c:pt>
                <c:pt idx="21">
                  <c:v>62074</c:v>
                </c:pt>
                <c:pt idx="22">
                  <c:v>38020</c:v>
                </c:pt>
                <c:pt idx="23">
                  <c:v>41054</c:v>
                </c:pt>
                <c:pt idx="24">
                  <c:v>0</c:v>
                </c:pt>
                <c:pt idx="25">
                  <c:v>0</c:v>
                </c:pt>
                <c:pt idx="26">
                  <c:v>0</c:v>
                </c:pt>
                <c:pt idx="27">
                  <c:v>0</c:v>
                </c:pt>
                <c:pt idx="28">
                  <c:v>0</c:v>
                </c:pt>
                <c:pt idx="29">
                  <c:v>0</c:v>
                </c:pt>
                <c:pt idx="30">
                  <c:v>6065</c:v>
                </c:pt>
                <c:pt idx="31">
                  <c:v>101064</c:v>
                </c:pt>
                <c:pt idx="32">
                  <c:v>54000</c:v>
                </c:pt>
                <c:pt idx="33">
                  <c:v>32000</c:v>
                </c:pt>
                <c:pt idx="34">
                  <c:v>0</c:v>
                </c:pt>
                <c:pt idx="35">
                  <c:v>57534</c:v>
                </c:pt>
                <c:pt idx="36">
                  <c:v>57163</c:v>
                </c:pt>
                <c:pt idx="37">
                  <c:v>47860</c:v>
                </c:pt>
                <c:pt idx="38">
                  <c:v>35297</c:v>
                </c:pt>
                <c:pt idx="39">
                  <c:v>0</c:v>
                </c:pt>
                <c:pt idx="40">
                  <c:v>0</c:v>
                </c:pt>
                <c:pt idx="41">
                  <c:v>0</c:v>
                </c:pt>
                <c:pt idx="42">
                  <c:v>0</c:v>
                </c:pt>
                <c:pt idx="43">
                  <c:v>0</c:v>
                </c:pt>
              </c:numCache>
            </c:numRef>
          </c:val>
          <c:extLst>
            <c:ext xmlns:c16="http://schemas.microsoft.com/office/drawing/2014/chart" uri="{C3380CC4-5D6E-409C-BE32-E72D297353CC}">
              <c16:uniqueId val="{00000004-84DB-4F38-9AEA-1EF509B42C81}"/>
            </c:ext>
          </c:extLst>
        </c:ser>
        <c:ser>
          <c:idx val="5"/>
          <c:order val="5"/>
          <c:tx>
            <c:strRef>
              <c:f>'Report-2'!$G$3</c:f>
              <c:strCache>
                <c:ptCount val="1"/>
                <c:pt idx="0">
                  <c:v>CTC (Driver Salary/Cost).</c:v>
                </c:pt>
              </c:strCache>
            </c:strRef>
          </c:tx>
          <c:spPr>
            <a:solidFill>
              <a:schemeClr val="accent6"/>
            </a:solidFill>
            <a:ln>
              <a:noFill/>
            </a:ln>
            <a:effectLst/>
          </c:spPr>
          <c:invertIfNegative val="0"/>
          <c:cat>
            <c:strRef>
              <c:f>'Report-2'!$A$4:$A$48</c:f>
              <c:strCache>
                <c:ptCount val="44"/>
                <c:pt idx="0">
                  <c:v>HR 26 FZ 8882</c:v>
                </c:pt>
                <c:pt idx="1">
                  <c:v>HR 55 AX 1428</c:v>
                </c:pt>
                <c:pt idx="2">
                  <c:v>HR 55 AX 4866</c:v>
                </c:pt>
                <c:pt idx="3">
                  <c:v>HR 55 BA 3898</c:v>
                </c:pt>
                <c:pt idx="4">
                  <c:v>HR 55 BB 4206</c:v>
                </c:pt>
                <c:pt idx="5">
                  <c:v>HR 55 BD 8299</c:v>
                </c:pt>
                <c:pt idx="6">
                  <c:v>HR 55AG 1451</c:v>
                </c:pt>
                <c:pt idx="7">
                  <c:v>HR 55AG 3526</c:v>
                </c:pt>
                <c:pt idx="8">
                  <c:v>HR 55AG 5093</c:v>
                </c:pt>
                <c:pt idx="9">
                  <c:v>HR 55AH 8939</c:v>
                </c:pt>
                <c:pt idx="10">
                  <c:v>HR 55AH1982</c:v>
                </c:pt>
                <c:pt idx="11">
                  <c:v>HR 55AX 1194</c:v>
                </c:pt>
                <c:pt idx="12">
                  <c:v>HR 55BC 1637</c:v>
                </c:pt>
                <c:pt idx="13">
                  <c:v>HR 66 C 0944</c:v>
                </c:pt>
                <c:pt idx="14">
                  <c:v>HR 66 C 2373</c:v>
                </c:pt>
                <c:pt idx="15">
                  <c:v>HR 66 C 2856</c:v>
                </c:pt>
                <c:pt idx="16">
                  <c:v>HR 66C 0292</c:v>
                </c:pt>
                <c:pt idx="17">
                  <c:v>HR 66C 2987</c:v>
                </c:pt>
                <c:pt idx="18">
                  <c:v>HR 66D 1538</c:v>
                </c:pt>
                <c:pt idx="19">
                  <c:v>HR26 EW 5895</c:v>
                </c:pt>
                <c:pt idx="20">
                  <c:v>HR-26FB-7616</c:v>
                </c:pt>
                <c:pt idx="21">
                  <c:v>HR47E 9469</c:v>
                </c:pt>
                <c:pt idx="22">
                  <c:v>HR-47F-1040</c:v>
                </c:pt>
                <c:pt idx="23">
                  <c:v>HR-47F-5680</c:v>
                </c:pt>
                <c:pt idx="24">
                  <c:v>HR-55AB-0471</c:v>
                </c:pt>
                <c:pt idx="25">
                  <c:v>HR-55AC-2477</c:v>
                </c:pt>
                <c:pt idx="26">
                  <c:v>HR-55AC-8668</c:v>
                </c:pt>
                <c:pt idx="27">
                  <c:v>HR-55AF-5134</c:v>
                </c:pt>
                <c:pt idx="28">
                  <c:v>HR-55AG-4440</c:v>
                </c:pt>
                <c:pt idx="29">
                  <c:v>HR-55AH-3603</c:v>
                </c:pt>
                <c:pt idx="30">
                  <c:v>HR-55AK-5787</c:v>
                </c:pt>
                <c:pt idx="31">
                  <c:v>HR-55AL-1846</c:v>
                </c:pt>
                <c:pt idx="32">
                  <c:v>HR-55-AL-5921</c:v>
                </c:pt>
                <c:pt idx="33">
                  <c:v>HR55AL8495</c:v>
                </c:pt>
                <c:pt idx="34">
                  <c:v>HR-55AR-1096</c:v>
                </c:pt>
                <c:pt idx="35">
                  <c:v>HR55AZ 3560</c:v>
                </c:pt>
                <c:pt idx="36">
                  <c:v>HR55AZ3356</c:v>
                </c:pt>
                <c:pt idx="37">
                  <c:v>HR-66B-4572</c:v>
                </c:pt>
                <c:pt idx="38">
                  <c:v>HR-66C-8938</c:v>
                </c:pt>
                <c:pt idx="39">
                  <c:v>ONLY DRIVER- SU</c:v>
                </c:pt>
                <c:pt idx="40">
                  <c:v>ONLY DRIVER-CH</c:v>
                </c:pt>
                <c:pt idx="41">
                  <c:v>ONLY DRIVER-DAL</c:v>
                </c:pt>
                <c:pt idx="42">
                  <c:v>ONLY DRIVER-DI</c:v>
                </c:pt>
                <c:pt idx="43">
                  <c:v>UK03TA2522</c:v>
                </c:pt>
              </c:strCache>
            </c:strRef>
          </c:cat>
          <c:val>
            <c:numRef>
              <c:f>'Report-2'!$G$4:$G$48</c:f>
              <c:numCache>
                <c:formatCode>General</c:formatCode>
                <c:ptCount val="44"/>
                <c:pt idx="0">
                  <c:v>47792.3</c:v>
                </c:pt>
                <c:pt idx="1">
                  <c:v>38714.300000000003</c:v>
                </c:pt>
                <c:pt idx="2">
                  <c:v>38853.066666666666</c:v>
                </c:pt>
                <c:pt idx="3">
                  <c:v>42514.804799999998</c:v>
                </c:pt>
                <c:pt idx="4">
                  <c:v>52260.133333333331</c:v>
                </c:pt>
                <c:pt idx="5">
                  <c:v>33394.300000000003</c:v>
                </c:pt>
                <c:pt idx="6">
                  <c:v>12160.9092</c:v>
                </c:pt>
                <c:pt idx="7">
                  <c:v>43399.683333333334</c:v>
                </c:pt>
                <c:pt idx="8">
                  <c:v>35372.300000000003</c:v>
                </c:pt>
                <c:pt idx="9">
                  <c:v>35684.222799999996</c:v>
                </c:pt>
                <c:pt idx="10">
                  <c:v>39520.300000000003</c:v>
                </c:pt>
                <c:pt idx="11">
                  <c:v>39352.633333333331</c:v>
                </c:pt>
                <c:pt idx="12">
                  <c:v>31804.3</c:v>
                </c:pt>
                <c:pt idx="13">
                  <c:v>39888.550000000003</c:v>
                </c:pt>
                <c:pt idx="14">
                  <c:v>54757.8</c:v>
                </c:pt>
                <c:pt idx="15">
                  <c:v>48686.8</c:v>
                </c:pt>
                <c:pt idx="16">
                  <c:v>50719.3</c:v>
                </c:pt>
                <c:pt idx="17">
                  <c:v>35386.716666666667</c:v>
                </c:pt>
                <c:pt idx="18">
                  <c:v>33958.800000000003</c:v>
                </c:pt>
                <c:pt idx="19">
                  <c:v>48682.8</c:v>
                </c:pt>
                <c:pt idx="20">
                  <c:v>32327.3</c:v>
                </c:pt>
                <c:pt idx="21">
                  <c:v>46534.000000000007</c:v>
                </c:pt>
                <c:pt idx="22">
                  <c:v>30331.3</c:v>
                </c:pt>
                <c:pt idx="23">
                  <c:v>59062.3</c:v>
                </c:pt>
                <c:pt idx="24">
                  <c:v>39938.133333333339</c:v>
                </c:pt>
                <c:pt idx="25">
                  <c:v>42701.133333333339</c:v>
                </c:pt>
                <c:pt idx="26">
                  <c:v>43084.466666666674</c:v>
                </c:pt>
                <c:pt idx="27">
                  <c:v>43801.716666666674</c:v>
                </c:pt>
                <c:pt idx="28">
                  <c:v>43339.466666666667</c:v>
                </c:pt>
                <c:pt idx="29">
                  <c:v>43608.3</c:v>
                </c:pt>
                <c:pt idx="30">
                  <c:v>36457.300000000003</c:v>
                </c:pt>
                <c:pt idx="31">
                  <c:v>125542</c:v>
                </c:pt>
                <c:pt idx="32">
                  <c:v>45708.05</c:v>
                </c:pt>
                <c:pt idx="33">
                  <c:v>6686.8271999999997</c:v>
                </c:pt>
                <c:pt idx="34">
                  <c:v>49605.883333333339</c:v>
                </c:pt>
                <c:pt idx="35">
                  <c:v>40455.966666666667</c:v>
                </c:pt>
                <c:pt idx="36">
                  <c:v>46550.133333333331</c:v>
                </c:pt>
                <c:pt idx="37">
                  <c:v>49774.716666666667</c:v>
                </c:pt>
                <c:pt idx="38">
                  <c:v>47561.716666666674</c:v>
                </c:pt>
                <c:pt idx="39">
                  <c:v>47334.919133333337</c:v>
                </c:pt>
                <c:pt idx="40">
                  <c:v>45575.233333333337</c:v>
                </c:pt>
                <c:pt idx="41">
                  <c:v>42058.3</c:v>
                </c:pt>
                <c:pt idx="42">
                  <c:v>42467.55</c:v>
                </c:pt>
                <c:pt idx="43">
                  <c:v>34091.300000000003</c:v>
                </c:pt>
              </c:numCache>
            </c:numRef>
          </c:val>
          <c:extLst>
            <c:ext xmlns:c16="http://schemas.microsoft.com/office/drawing/2014/chart" uri="{C3380CC4-5D6E-409C-BE32-E72D297353CC}">
              <c16:uniqueId val="{00000005-84DB-4F38-9AEA-1EF509B42C81}"/>
            </c:ext>
          </c:extLst>
        </c:ser>
        <c:dLbls>
          <c:showLegendKey val="0"/>
          <c:showVal val="0"/>
          <c:showCatName val="0"/>
          <c:showSerName val="0"/>
          <c:showPercent val="0"/>
          <c:showBubbleSize val="0"/>
        </c:dLbls>
        <c:gapWidth val="219"/>
        <c:overlap val="-27"/>
        <c:axId val="990059952"/>
        <c:axId val="990056592"/>
      </c:barChart>
      <c:catAx>
        <c:axId val="99005995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0056592"/>
        <c:crosses val="autoZero"/>
        <c:auto val="1"/>
        <c:lblAlgn val="ctr"/>
        <c:lblOffset val="100"/>
        <c:noMultiLvlLbl val="0"/>
      </c:catAx>
      <c:valAx>
        <c:axId val="9900565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0059952"/>
        <c:crosses val="autoZero"/>
        <c:crossBetween val="between"/>
      </c:valAx>
      <c:spPr>
        <a:noFill/>
        <a:ln>
          <a:noFill/>
        </a:ln>
        <a:effectLst/>
      </c:spPr>
    </c:plotArea>
    <c:legend>
      <c:legendPos val="r"/>
      <c:layout>
        <c:manualLayout>
          <c:xMode val="edge"/>
          <c:yMode val="edge"/>
          <c:x val="0.65098538924758265"/>
          <c:y val="9.8588758198276338E-2"/>
          <c:w val="0.3490146107524173"/>
          <c:h val="0.8964427340235242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accent4">
            <a:lumMod val="40000"/>
            <a:lumOff val="60000"/>
          </a:schemeClr>
        </a:gs>
        <a:gs pos="46000">
          <a:schemeClr val="accent4">
            <a:lumMod val="95000"/>
            <a:lumOff val="5000"/>
          </a:schemeClr>
        </a:gs>
        <a:gs pos="100000">
          <a:schemeClr val="accent4">
            <a:lumMod val="60000"/>
          </a:schemeClr>
        </a:gs>
      </a:gsLst>
      <a:path path="circle">
        <a:fillToRect l="50000" t="130000" r="50000" b="-30000"/>
      </a:path>
      <a:tileRect/>
    </a:gra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[MIS SHEET-JULY-26.xlsx]Report -1 !PivotTable3</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'Report -1 '!$B$1</c:f>
              <c:strCache>
                <c:ptCount val="1"/>
                <c:pt idx="0">
                  <c:v>NET PROFIT AMT</c:v>
                </c:pt>
              </c:strCache>
            </c:strRef>
          </c:tx>
          <c:spPr>
            <a:solidFill>
              <a:schemeClr val="accent1"/>
            </a:solidFill>
            <a:ln>
              <a:noFill/>
            </a:ln>
            <a:effectLst/>
          </c:spPr>
          <c:invertIfNegative val="0"/>
          <c:cat>
            <c:strRef>
              <c:f>'Report -1 '!$A$2:$A$46</c:f>
              <c:strCache>
                <c:ptCount val="44"/>
                <c:pt idx="0">
                  <c:v>HR 26 FZ 8882</c:v>
                </c:pt>
                <c:pt idx="1">
                  <c:v>HR 55 AX 1428</c:v>
                </c:pt>
                <c:pt idx="2">
                  <c:v>HR 55 AX 4866</c:v>
                </c:pt>
                <c:pt idx="3">
                  <c:v>HR 55 BA 3898</c:v>
                </c:pt>
                <c:pt idx="4">
                  <c:v>HR 55 BB 4206</c:v>
                </c:pt>
                <c:pt idx="5">
                  <c:v>HR 55 BD 8299</c:v>
                </c:pt>
                <c:pt idx="6">
                  <c:v>HR 55AG 1451</c:v>
                </c:pt>
                <c:pt idx="7">
                  <c:v>HR 55AG 3526</c:v>
                </c:pt>
                <c:pt idx="8">
                  <c:v>HR 55AG 5093</c:v>
                </c:pt>
                <c:pt idx="9">
                  <c:v>HR 55AH 8939</c:v>
                </c:pt>
                <c:pt idx="10">
                  <c:v>HR 55AH1982</c:v>
                </c:pt>
                <c:pt idx="11">
                  <c:v>HR 55AX 1194</c:v>
                </c:pt>
                <c:pt idx="12">
                  <c:v>HR 55BC 1637</c:v>
                </c:pt>
                <c:pt idx="13">
                  <c:v>HR 66 C 0944</c:v>
                </c:pt>
                <c:pt idx="14">
                  <c:v>HR 66 C 2373</c:v>
                </c:pt>
                <c:pt idx="15">
                  <c:v>HR 66 C 2856</c:v>
                </c:pt>
                <c:pt idx="16">
                  <c:v>HR 66C 0292</c:v>
                </c:pt>
                <c:pt idx="17">
                  <c:v>HR 66C 2987</c:v>
                </c:pt>
                <c:pt idx="18">
                  <c:v>HR 66D 1538</c:v>
                </c:pt>
                <c:pt idx="19">
                  <c:v>HR26 EW 5895</c:v>
                </c:pt>
                <c:pt idx="20">
                  <c:v>HR-26FB-7616</c:v>
                </c:pt>
                <c:pt idx="21">
                  <c:v>HR47E 9469</c:v>
                </c:pt>
                <c:pt idx="22">
                  <c:v>HR-47F-1040</c:v>
                </c:pt>
                <c:pt idx="23">
                  <c:v>HR-47F-5680</c:v>
                </c:pt>
                <c:pt idx="24">
                  <c:v>HR-55AB-0471</c:v>
                </c:pt>
                <c:pt idx="25">
                  <c:v>HR-55AC-2477</c:v>
                </c:pt>
                <c:pt idx="26">
                  <c:v>HR-55AC-8668</c:v>
                </c:pt>
                <c:pt idx="27">
                  <c:v>HR-55AF-5134</c:v>
                </c:pt>
                <c:pt idx="28">
                  <c:v>HR-55AG-4440</c:v>
                </c:pt>
                <c:pt idx="29">
                  <c:v>HR-55AH-3603</c:v>
                </c:pt>
                <c:pt idx="30">
                  <c:v>HR-55AK-5787</c:v>
                </c:pt>
                <c:pt idx="31">
                  <c:v>HR-55AL-1846</c:v>
                </c:pt>
                <c:pt idx="32">
                  <c:v>HR-55-AL-5921</c:v>
                </c:pt>
                <c:pt idx="33">
                  <c:v>HR55AL8495</c:v>
                </c:pt>
                <c:pt idx="34">
                  <c:v>HR-55AR-1096</c:v>
                </c:pt>
                <c:pt idx="35">
                  <c:v>HR55AZ 3560</c:v>
                </c:pt>
                <c:pt idx="36">
                  <c:v>HR55AZ3356</c:v>
                </c:pt>
                <c:pt idx="37">
                  <c:v>HR-66B-4572</c:v>
                </c:pt>
                <c:pt idx="38">
                  <c:v>HR-66C-8938</c:v>
                </c:pt>
                <c:pt idx="39">
                  <c:v>ONLY DRIVER- SU</c:v>
                </c:pt>
                <c:pt idx="40">
                  <c:v>ONLY DRIVER-CH</c:v>
                </c:pt>
                <c:pt idx="41">
                  <c:v>ONLY DRIVER-DAL</c:v>
                </c:pt>
                <c:pt idx="42">
                  <c:v>ONLY DRIVER-DI</c:v>
                </c:pt>
                <c:pt idx="43">
                  <c:v>UK03TA2522</c:v>
                </c:pt>
              </c:strCache>
            </c:strRef>
          </c:cat>
          <c:val>
            <c:numRef>
              <c:f>'Report -1 '!$B$2:$B$46</c:f>
              <c:numCache>
                <c:formatCode>General</c:formatCode>
                <c:ptCount val="44"/>
                <c:pt idx="0">
                  <c:v>16305.569999999992</c:v>
                </c:pt>
                <c:pt idx="1">
                  <c:v>21788.73000000001</c:v>
                </c:pt>
                <c:pt idx="2">
                  <c:v>11627.783333333326</c:v>
                </c:pt>
                <c:pt idx="3">
                  <c:v>7329.5552000000025</c:v>
                </c:pt>
                <c:pt idx="4">
                  <c:v>76965.236666666693</c:v>
                </c:pt>
                <c:pt idx="5">
                  <c:v>16585.740000000005</c:v>
                </c:pt>
                <c:pt idx="6">
                  <c:v>67855.610799999995</c:v>
                </c:pt>
                <c:pt idx="7">
                  <c:v>13748.226666666669</c:v>
                </c:pt>
                <c:pt idx="8">
                  <c:v>7431.9799999999959</c:v>
                </c:pt>
                <c:pt idx="10">
                  <c:v>120097.80999999998</c:v>
                </c:pt>
                <c:pt idx="11">
                  <c:v>13170.886666666673</c:v>
                </c:pt>
                <c:pt idx="13">
                  <c:v>32024.78</c:v>
                </c:pt>
                <c:pt idx="14">
                  <c:v>16554.700000000012</c:v>
                </c:pt>
                <c:pt idx="15">
                  <c:v>55313.200000000012</c:v>
                </c:pt>
                <c:pt idx="16">
                  <c:v>41331.699999999997</c:v>
                </c:pt>
                <c:pt idx="17">
                  <c:v>29639.283333333326</c:v>
                </c:pt>
                <c:pt idx="18">
                  <c:v>15756.199999999997</c:v>
                </c:pt>
                <c:pt idx="19">
                  <c:v>10816.25</c:v>
                </c:pt>
                <c:pt idx="20">
                  <c:v>7272.6999999999971</c:v>
                </c:pt>
                <c:pt idx="21">
                  <c:v>23582.329999999987</c:v>
                </c:pt>
                <c:pt idx="22">
                  <c:v>1029.8999999999942</c:v>
                </c:pt>
                <c:pt idx="23">
                  <c:v>15762.370000000024</c:v>
                </c:pt>
                <c:pt idx="24">
                  <c:v>55932.206666666636</c:v>
                </c:pt>
                <c:pt idx="26">
                  <c:v>118845.50333333333</c:v>
                </c:pt>
                <c:pt idx="27">
                  <c:v>114471.29333333333</c:v>
                </c:pt>
                <c:pt idx="28">
                  <c:v>78518.723333333328</c:v>
                </c:pt>
                <c:pt idx="30">
                  <c:v>35610.5</c:v>
                </c:pt>
                <c:pt idx="31">
                  <c:v>22224</c:v>
                </c:pt>
                <c:pt idx="32">
                  <c:v>27397.950000000012</c:v>
                </c:pt>
                <c:pt idx="33">
                  <c:v>33890.542799999996</c:v>
                </c:pt>
                <c:pt idx="34">
                  <c:v>44367.156666666662</c:v>
                </c:pt>
                <c:pt idx="35">
                  <c:v>24795.643333333312</c:v>
                </c:pt>
                <c:pt idx="36">
                  <c:v>20305.616666666669</c:v>
                </c:pt>
                <c:pt idx="37">
                  <c:v>85991.273333333316</c:v>
                </c:pt>
                <c:pt idx="39">
                  <c:v>6944.0808666666635</c:v>
                </c:pt>
                <c:pt idx="40">
                  <c:v>11038.766666666663</c:v>
                </c:pt>
                <c:pt idx="41">
                  <c:v>4918.6999999999971</c:v>
                </c:pt>
                <c:pt idx="42">
                  <c:v>12425.449999999997</c:v>
                </c:pt>
                <c:pt idx="43">
                  <c:v>83846.03</c:v>
                </c:pt>
              </c:numCache>
            </c:numRef>
          </c:val>
          <c:extLst>
            <c:ext xmlns:c16="http://schemas.microsoft.com/office/drawing/2014/chart" uri="{C3380CC4-5D6E-409C-BE32-E72D297353CC}">
              <c16:uniqueId val="{00000000-7CC0-4773-93F7-626E22EA816A}"/>
            </c:ext>
          </c:extLst>
        </c:ser>
        <c:ser>
          <c:idx val="1"/>
          <c:order val="1"/>
          <c:tx>
            <c:strRef>
              <c:f>'Report -1 '!$C$1</c:f>
              <c:strCache>
                <c:ptCount val="1"/>
                <c:pt idx="0">
                  <c:v>NET LOSS AMT.</c:v>
                </c:pt>
              </c:strCache>
            </c:strRef>
          </c:tx>
          <c:spPr>
            <a:solidFill>
              <a:schemeClr val="accent2"/>
            </a:solidFill>
            <a:ln>
              <a:noFill/>
            </a:ln>
            <a:effectLst/>
          </c:spPr>
          <c:invertIfNegative val="0"/>
          <c:cat>
            <c:strRef>
              <c:f>'Report -1 '!$A$2:$A$46</c:f>
              <c:strCache>
                <c:ptCount val="44"/>
                <c:pt idx="0">
                  <c:v>HR 26 FZ 8882</c:v>
                </c:pt>
                <c:pt idx="1">
                  <c:v>HR 55 AX 1428</c:v>
                </c:pt>
                <c:pt idx="2">
                  <c:v>HR 55 AX 4866</c:v>
                </c:pt>
                <c:pt idx="3">
                  <c:v>HR 55 BA 3898</c:v>
                </c:pt>
                <c:pt idx="4">
                  <c:v>HR 55 BB 4206</c:v>
                </c:pt>
                <c:pt idx="5">
                  <c:v>HR 55 BD 8299</c:v>
                </c:pt>
                <c:pt idx="6">
                  <c:v>HR 55AG 1451</c:v>
                </c:pt>
                <c:pt idx="7">
                  <c:v>HR 55AG 3526</c:v>
                </c:pt>
                <c:pt idx="8">
                  <c:v>HR 55AG 5093</c:v>
                </c:pt>
                <c:pt idx="9">
                  <c:v>HR 55AH 8939</c:v>
                </c:pt>
                <c:pt idx="10">
                  <c:v>HR 55AH1982</c:v>
                </c:pt>
                <c:pt idx="11">
                  <c:v>HR 55AX 1194</c:v>
                </c:pt>
                <c:pt idx="12">
                  <c:v>HR 55BC 1637</c:v>
                </c:pt>
                <c:pt idx="13">
                  <c:v>HR 66 C 0944</c:v>
                </c:pt>
                <c:pt idx="14">
                  <c:v>HR 66 C 2373</c:v>
                </c:pt>
                <c:pt idx="15">
                  <c:v>HR 66 C 2856</c:v>
                </c:pt>
                <c:pt idx="16">
                  <c:v>HR 66C 0292</c:v>
                </c:pt>
                <c:pt idx="17">
                  <c:v>HR 66C 2987</c:v>
                </c:pt>
                <c:pt idx="18">
                  <c:v>HR 66D 1538</c:v>
                </c:pt>
                <c:pt idx="19">
                  <c:v>HR26 EW 5895</c:v>
                </c:pt>
                <c:pt idx="20">
                  <c:v>HR-26FB-7616</c:v>
                </c:pt>
                <c:pt idx="21">
                  <c:v>HR47E 9469</c:v>
                </c:pt>
                <c:pt idx="22">
                  <c:v>HR-47F-1040</c:v>
                </c:pt>
                <c:pt idx="23">
                  <c:v>HR-47F-5680</c:v>
                </c:pt>
                <c:pt idx="24">
                  <c:v>HR-55AB-0471</c:v>
                </c:pt>
                <c:pt idx="25">
                  <c:v>HR-55AC-2477</c:v>
                </c:pt>
                <c:pt idx="26">
                  <c:v>HR-55AC-8668</c:v>
                </c:pt>
                <c:pt idx="27">
                  <c:v>HR-55AF-5134</c:v>
                </c:pt>
                <c:pt idx="28">
                  <c:v>HR-55AG-4440</c:v>
                </c:pt>
                <c:pt idx="29">
                  <c:v>HR-55AH-3603</c:v>
                </c:pt>
                <c:pt idx="30">
                  <c:v>HR-55AK-5787</c:v>
                </c:pt>
                <c:pt idx="31">
                  <c:v>HR-55AL-1846</c:v>
                </c:pt>
                <c:pt idx="32">
                  <c:v>HR-55-AL-5921</c:v>
                </c:pt>
                <c:pt idx="33">
                  <c:v>HR55AL8495</c:v>
                </c:pt>
                <c:pt idx="34">
                  <c:v>HR-55AR-1096</c:v>
                </c:pt>
                <c:pt idx="35">
                  <c:v>HR55AZ 3560</c:v>
                </c:pt>
                <c:pt idx="36">
                  <c:v>HR55AZ3356</c:v>
                </c:pt>
                <c:pt idx="37">
                  <c:v>HR-66B-4572</c:v>
                </c:pt>
                <c:pt idx="38">
                  <c:v>HR-66C-8938</c:v>
                </c:pt>
                <c:pt idx="39">
                  <c:v>ONLY DRIVER- SU</c:v>
                </c:pt>
                <c:pt idx="40">
                  <c:v>ONLY DRIVER-CH</c:v>
                </c:pt>
                <c:pt idx="41">
                  <c:v>ONLY DRIVER-DAL</c:v>
                </c:pt>
                <c:pt idx="42">
                  <c:v>ONLY DRIVER-DI</c:v>
                </c:pt>
                <c:pt idx="43">
                  <c:v>UK03TA2522</c:v>
                </c:pt>
              </c:strCache>
            </c:strRef>
          </c:cat>
          <c:val>
            <c:numRef>
              <c:f>'Report -1 '!$C$2:$C$46</c:f>
              <c:numCache>
                <c:formatCode>General</c:formatCode>
                <c:ptCount val="44"/>
                <c:pt idx="9">
                  <c:v>-32712.592799999999</c:v>
                </c:pt>
                <c:pt idx="12">
                  <c:v>-13536.389999999985</c:v>
                </c:pt>
                <c:pt idx="25">
                  <c:v>-22564.873333333337</c:v>
                </c:pt>
                <c:pt idx="29">
                  <c:v>-3001.5500000000029</c:v>
                </c:pt>
                <c:pt idx="38">
                  <c:v>-9559.9566666666651</c:v>
                </c:pt>
              </c:numCache>
            </c:numRef>
          </c:val>
          <c:extLst>
            <c:ext xmlns:c16="http://schemas.microsoft.com/office/drawing/2014/chart" uri="{C3380CC4-5D6E-409C-BE32-E72D297353CC}">
              <c16:uniqueId val="{00000001-7CC0-4773-93F7-626E22EA816A}"/>
            </c:ext>
          </c:extLst>
        </c:ser>
        <c:dLbls>
          <c:showLegendKey val="0"/>
          <c:showVal val="0"/>
          <c:showCatName val="0"/>
          <c:showSerName val="0"/>
          <c:showPercent val="0"/>
          <c:showBubbleSize val="0"/>
        </c:dLbls>
        <c:gapWidth val="219"/>
        <c:overlap val="-27"/>
        <c:axId val="915249888"/>
        <c:axId val="915251328"/>
      </c:barChart>
      <c:catAx>
        <c:axId val="9152498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5251328"/>
        <c:crosses val="autoZero"/>
        <c:auto val="1"/>
        <c:lblAlgn val="ctr"/>
        <c:lblOffset val="100"/>
        <c:noMultiLvlLbl val="0"/>
      </c:catAx>
      <c:valAx>
        <c:axId val="9152513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52498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accent4">
            <a:lumMod val="40000"/>
            <a:lumOff val="60000"/>
          </a:schemeClr>
        </a:gs>
        <a:gs pos="46000">
          <a:schemeClr val="accent4">
            <a:lumMod val="95000"/>
            <a:lumOff val="5000"/>
          </a:schemeClr>
        </a:gs>
        <a:gs pos="100000">
          <a:schemeClr val="accent4">
            <a:lumMod val="60000"/>
          </a:schemeClr>
        </a:gs>
      </a:gsLst>
      <a:path path="circle">
        <a:fillToRect l="50000" t="130000" r="50000" b="-30000"/>
      </a:path>
      <a:tileRect/>
    </a:gra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4</xdr:col>
      <xdr:colOff>0</xdr:colOff>
      <xdr:row>1</xdr:row>
      <xdr:rowOff>0</xdr:rowOff>
    </xdr:from>
    <xdr:to>
      <xdr:col>11</xdr:col>
      <xdr:colOff>68580</xdr:colOff>
      <xdr:row>13</xdr:row>
      <xdr:rowOff>38100</xdr:rowOff>
    </xdr:to>
    <xdr:graphicFrame macro="">
      <xdr:nvGraphicFramePr>
        <xdr:cNvPr id="2" name="Chart 1">
          <a:extLst>
            <a:ext uri="{FF2B5EF4-FFF2-40B4-BE49-F238E27FC236}">
              <a16:creationId xmlns:a16="http://schemas.microsoft.com/office/drawing/2014/main" id="{72EDB2EB-6CD5-F82A-F98B-E40B36B067D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7</xdr:col>
      <xdr:colOff>533400</xdr:colOff>
      <xdr:row>7</xdr:row>
      <xdr:rowOff>175260</xdr:rowOff>
    </xdr:from>
    <xdr:to>
      <xdr:col>15</xdr:col>
      <xdr:colOff>228600</xdr:colOff>
      <xdr:row>22</xdr:row>
      <xdr:rowOff>175260</xdr:rowOff>
    </xdr:to>
    <xdr:graphicFrame macro="">
      <xdr:nvGraphicFramePr>
        <xdr:cNvPr id="2" name="Chart 1">
          <a:extLst>
            <a:ext uri="{FF2B5EF4-FFF2-40B4-BE49-F238E27FC236}">
              <a16:creationId xmlns:a16="http://schemas.microsoft.com/office/drawing/2014/main" id="{82109B9B-5E75-18C4-A358-5DF1A031F99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23</xdr:col>
      <xdr:colOff>297180</xdr:colOff>
      <xdr:row>42</xdr:row>
      <xdr:rowOff>175260</xdr:rowOff>
    </xdr:to>
    <xdr:sp macro="" textlink="">
      <xdr:nvSpPr>
        <xdr:cNvPr id="16" name="Rectangle 15">
          <a:extLst>
            <a:ext uri="{FF2B5EF4-FFF2-40B4-BE49-F238E27FC236}">
              <a16:creationId xmlns:a16="http://schemas.microsoft.com/office/drawing/2014/main" id="{C873BB48-9656-07E6-7FE4-164BEDC055CD}"/>
            </a:ext>
          </a:extLst>
        </xdr:cNvPr>
        <xdr:cNvSpPr/>
      </xdr:nvSpPr>
      <xdr:spPr>
        <a:xfrm>
          <a:off x="0" y="0"/>
          <a:ext cx="14317980" cy="7856220"/>
        </a:xfrm>
        <a:prstGeom prst="rect">
          <a:avLst/>
        </a:prstGeom>
        <a:scene3d>
          <a:camera prst="orthographicFront"/>
          <a:lightRig rig="threePt" dir="t"/>
        </a:scene3d>
        <a:sp3d>
          <a:bevelT/>
        </a:sp3d>
      </xdr:spPr>
      <xdr:style>
        <a:lnRef idx="1">
          <a:schemeClr val="accent4"/>
        </a:lnRef>
        <a:fillRef idx="3">
          <a:schemeClr val="accent4"/>
        </a:fillRef>
        <a:effectRef idx="2">
          <a:schemeClr val="accent4"/>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0</xdr:colOff>
      <xdr:row>2</xdr:row>
      <xdr:rowOff>7620</xdr:rowOff>
    </xdr:from>
    <xdr:to>
      <xdr:col>7</xdr:col>
      <xdr:colOff>266700</xdr:colOff>
      <xdr:row>29</xdr:row>
      <xdr:rowOff>0</xdr:rowOff>
    </xdr:to>
    <xdr:sp macro="" textlink="">
      <xdr:nvSpPr>
        <xdr:cNvPr id="2" name="Rectangle 1">
          <a:extLst>
            <a:ext uri="{FF2B5EF4-FFF2-40B4-BE49-F238E27FC236}">
              <a16:creationId xmlns:a16="http://schemas.microsoft.com/office/drawing/2014/main" id="{763716E0-4233-2BCE-F065-C81928508D23}"/>
            </a:ext>
          </a:extLst>
        </xdr:cNvPr>
        <xdr:cNvSpPr/>
      </xdr:nvSpPr>
      <xdr:spPr>
        <a:xfrm>
          <a:off x="0" y="373380"/>
          <a:ext cx="4533900" cy="4930140"/>
        </a:xfrm>
        <a:prstGeom prst="rect">
          <a:avLst/>
        </a:prstGeom>
        <a:scene3d>
          <a:camera prst="orthographicFront"/>
          <a:lightRig rig="threePt" dir="t"/>
        </a:scene3d>
        <a:sp3d>
          <a:bevelT/>
        </a:sp3d>
      </xdr:spPr>
      <xdr:style>
        <a:lnRef idx="0">
          <a:schemeClr val="accent4"/>
        </a:lnRef>
        <a:fillRef idx="3">
          <a:schemeClr val="accent4"/>
        </a:fillRef>
        <a:effectRef idx="3">
          <a:schemeClr val="accent4"/>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30480</xdr:colOff>
      <xdr:row>0</xdr:row>
      <xdr:rowOff>0</xdr:rowOff>
    </xdr:from>
    <xdr:to>
      <xdr:col>3</xdr:col>
      <xdr:colOff>533400</xdr:colOff>
      <xdr:row>1</xdr:row>
      <xdr:rowOff>175260</xdr:rowOff>
    </xdr:to>
    <xdr:sp macro="" textlink="">
      <xdr:nvSpPr>
        <xdr:cNvPr id="3" name="Oval 2">
          <a:extLst>
            <a:ext uri="{FF2B5EF4-FFF2-40B4-BE49-F238E27FC236}">
              <a16:creationId xmlns:a16="http://schemas.microsoft.com/office/drawing/2014/main" id="{D2DE00A5-F454-A852-CA61-2CEB3E221F87}"/>
            </a:ext>
          </a:extLst>
        </xdr:cNvPr>
        <xdr:cNvSpPr/>
      </xdr:nvSpPr>
      <xdr:spPr>
        <a:xfrm>
          <a:off x="30480" y="0"/>
          <a:ext cx="2331720" cy="358140"/>
        </a:xfrm>
        <a:prstGeom prst="ellipse">
          <a:avLst/>
        </a:prstGeom>
        <a:scene3d>
          <a:camera prst="orthographicFront"/>
          <a:lightRig rig="threePt" dir="t"/>
        </a:scene3d>
        <a:sp3d>
          <a:bevelT/>
        </a:sp3d>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r>
            <a:rPr lang="en-IN" sz="1100"/>
            <a:t>             </a:t>
          </a:r>
          <a:r>
            <a:rPr lang="en-IN" sz="1100">
              <a:latin typeface="Algerian" panose="04020705040A02060702" pitchFamily="82" charset="0"/>
            </a:rPr>
            <a:t>Cab</a:t>
          </a:r>
          <a:r>
            <a:rPr lang="en-IN" sz="1100" baseline="0">
              <a:latin typeface="Algerian" panose="04020705040A02060702" pitchFamily="82" charset="0"/>
            </a:rPr>
            <a:t> Buttons</a:t>
          </a:r>
          <a:endParaRPr lang="en-IN" sz="1100">
            <a:latin typeface="Algerian" panose="04020705040A02060702" pitchFamily="82" charset="0"/>
          </a:endParaRPr>
        </a:p>
      </xdr:txBody>
    </xdr:sp>
    <xdr:clientData/>
  </xdr:twoCellAnchor>
  <xdr:twoCellAnchor>
    <xdr:from>
      <xdr:col>7</xdr:col>
      <xdr:colOff>243840</xdr:colOff>
      <xdr:row>2</xdr:row>
      <xdr:rowOff>114300</xdr:rowOff>
    </xdr:from>
    <xdr:to>
      <xdr:col>14</xdr:col>
      <xdr:colOff>502920</xdr:colOff>
      <xdr:row>15</xdr:row>
      <xdr:rowOff>83820</xdr:rowOff>
    </xdr:to>
    <xdr:sp macro="" textlink="">
      <xdr:nvSpPr>
        <xdr:cNvPr id="4" name="Rectangle: Rounded Corners 3">
          <a:extLst>
            <a:ext uri="{FF2B5EF4-FFF2-40B4-BE49-F238E27FC236}">
              <a16:creationId xmlns:a16="http://schemas.microsoft.com/office/drawing/2014/main" id="{ABE8B1D4-3005-4C6B-D751-F322DED46B60}"/>
            </a:ext>
          </a:extLst>
        </xdr:cNvPr>
        <xdr:cNvSpPr/>
      </xdr:nvSpPr>
      <xdr:spPr>
        <a:xfrm>
          <a:off x="4511040" y="480060"/>
          <a:ext cx="4526280" cy="2346960"/>
        </a:xfrm>
        <a:prstGeom prst="roundRect">
          <a:avLst/>
        </a:prstGeom>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266700</xdr:colOff>
      <xdr:row>17</xdr:row>
      <xdr:rowOff>114300</xdr:rowOff>
    </xdr:from>
    <xdr:to>
      <xdr:col>14</xdr:col>
      <xdr:colOff>472440</xdr:colOff>
      <xdr:row>30</xdr:row>
      <xdr:rowOff>152400</xdr:rowOff>
    </xdr:to>
    <xdr:sp macro="" textlink="">
      <xdr:nvSpPr>
        <xdr:cNvPr id="5" name="Rectangle: Rounded Corners 4">
          <a:extLst>
            <a:ext uri="{FF2B5EF4-FFF2-40B4-BE49-F238E27FC236}">
              <a16:creationId xmlns:a16="http://schemas.microsoft.com/office/drawing/2014/main" id="{53148DF0-4A0D-4C66-96AD-071FC46E7B86}"/>
            </a:ext>
          </a:extLst>
        </xdr:cNvPr>
        <xdr:cNvSpPr/>
      </xdr:nvSpPr>
      <xdr:spPr>
        <a:xfrm>
          <a:off x="4533900" y="3223260"/>
          <a:ext cx="4472940" cy="2415540"/>
        </a:xfrm>
        <a:prstGeom prst="roundRect">
          <a:avLst/>
        </a:prstGeom>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518160</xdr:colOff>
      <xdr:row>0</xdr:row>
      <xdr:rowOff>91440</xdr:rowOff>
    </xdr:from>
    <xdr:to>
      <xdr:col>13</xdr:col>
      <xdr:colOff>289560</xdr:colOff>
      <xdr:row>2</xdr:row>
      <xdr:rowOff>83820</xdr:rowOff>
    </xdr:to>
    <xdr:sp macro="" textlink="">
      <xdr:nvSpPr>
        <xdr:cNvPr id="8" name="Oval 7">
          <a:extLst>
            <a:ext uri="{FF2B5EF4-FFF2-40B4-BE49-F238E27FC236}">
              <a16:creationId xmlns:a16="http://schemas.microsoft.com/office/drawing/2014/main" id="{6B019A5D-E683-41E1-926E-7C4F2E6E507E}"/>
            </a:ext>
          </a:extLst>
        </xdr:cNvPr>
        <xdr:cNvSpPr/>
      </xdr:nvSpPr>
      <xdr:spPr>
        <a:xfrm>
          <a:off x="5394960" y="91440"/>
          <a:ext cx="2819400" cy="358140"/>
        </a:xfrm>
        <a:prstGeom prst="ellipse">
          <a:avLst/>
        </a:prstGeom>
        <a:scene3d>
          <a:camera prst="orthographicFront"/>
          <a:lightRig rig="threePt" dir="t"/>
        </a:scene3d>
        <a:sp3d>
          <a:bevelT/>
        </a:sp3d>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r>
            <a:rPr lang="en-IN" sz="1100"/>
            <a:t>             </a:t>
          </a:r>
          <a:r>
            <a:rPr lang="en-IN" sz="1100">
              <a:latin typeface="Algerian" panose="04020705040A02060702" pitchFamily="82" charset="0"/>
            </a:rPr>
            <a:t>PROFIT</a:t>
          </a:r>
          <a:r>
            <a:rPr lang="en-IN" sz="1100" baseline="0">
              <a:latin typeface="Algerian" panose="04020705040A02060702" pitchFamily="82" charset="0"/>
            </a:rPr>
            <a:t> &amp; LOSS CHART</a:t>
          </a:r>
          <a:endParaRPr lang="en-IN" sz="1100">
            <a:latin typeface="Algerian" panose="04020705040A02060702" pitchFamily="82" charset="0"/>
          </a:endParaRPr>
        </a:p>
      </xdr:txBody>
    </xdr:sp>
    <xdr:clientData/>
  </xdr:twoCellAnchor>
  <xdr:twoCellAnchor>
    <xdr:from>
      <xdr:col>8</xdr:col>
      <xdr:colOff>434340</xdr:colOff>
      <xdr:row>15</xdr:row>
      <xdr:rowOff>106680</xdr:rowOff>
    </xdr:from>
    <xdr:to>
      <xdr:col>13</xdr:col>
      <xdr:colOff>335280</xdr:colOff>
      <xdr:row>17</xdr:row>
      <xdr:rowOff>99060</xdr:rowOff>
    </xdr:to>
    <xdr:sp macro="" textlink="">
      <xdr:nvSpPr>
        <xdr:cNvPr id="9" name="Oval 8">
          <a:extLst>
            <a:ext uri="{FF2B5EF4-FFF2-40B4-BE49-F238E27FC236}">
              <a16:creationId xmlns:a16="http://schemas.microsoft.com/office/drawing/2014/main" id="{50323858-98F9-4F42-81FC-40852710C594}"/>
            </a:ext>
          </a:extLst>
        </xdr:cNvPr>
        <xdr:cNvSpPr/>
      </xdr:nvSpPr>
      <xdr:spPr>
        <a:xfrm>
          <a:off x="5311140" y="2849880"/>
          <a:ext cx="2948940" cy="358140"/>
        </a:xfrm>
        <a:prstGeom prst="ellipse">
          <a:avLst/>
        </a:prstGeom>
        <a:scene3d>
          <a:camera prst="orthographicFront"/>
          <a:lightRig rig="threePt" dir="t"/>
        </a:scene3d>
        <a:sp3d>
          <a:bevelT/>
        </a:sp3d>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r>
            <a:rPr lang="en-IN" sz="1100"/>
            <a:t>             </a:t>
          </a:r>
          <a:r>
            <a:rPr lang="en-IN" sz="1100">
              <a:latin typeface="Algerian" panose="04020705040A02060702" pitchFamily="82" charset="0"/>
            </a:rPr>
            <a:t>Expense</a:t>
          </a:r>
          <a:r>
            <a:rPr lang="en-IN" sz="1100" baseline="0">
              <a:latin typeface="Algerian" panose="04020705040A02060702" pitchFamily="82" charset="0"/>
            </a:rPr>
            <a:t> Bifurcation</a:t>
          </a:r>
          <a:endParaRPr lang="en-IN" sz="1100">
            <a:latin typeface="Algerian" panose="04020705040A02060702" pitchFamily="82" charset="0"/>
          </a:endParaRPr>
        </a:p>
      </xdr:txBody>
    </xdr:sp>
    <xdr:clientData/>
  </xdr:twoCellAnchor>
  <xdr:twoCellAnchor>
    <xdr:from>
      <xdr:col>7</xdr:col>
      <xdr:colOff>499725</xdr:colOff>
      <xdr:row>18</xdr:row>
      <xdr:rowOff>10355</xdr:rowOff>
    </xdr:from>
    <xdr:to>
      <xdr:col>14</xdr:col>
      <xdr:colOff>281940</xdr:colOff>
      <xdr:row>30</xdr:row>
      <xdr:rowOff>121920</xdr:rowOff>
    </xdr:to>
    <xdr:graphicFrame macro="">
      <xdr:nvGraphicFramePr>
        <xdr:cNvPr id="10" name="Chart 9">
          <a:extLst>
            <a:ext uri="{FF2B5EF4-FFF2-40B4-BE49-F238E27FC236}">
              <a16:creationId xmlns:a16="http://schemas.microsoft.com/office/drawing/2014/main" id="{7EB9E494-79B3-4BF1-814E-1206B968A3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449580</xdr:colOff>
      <xdr:row>2</xdr:row>
      <xdr:rowOff>175260</xdr:rowOff>
    </xdr:from>
    <xdr:to>
      <xdr:col>14</xdr:col>
      <xdr:colOff>327500</xdr:colOff>
      <xdr:row>15</xdr:row>
      <xdr:rowOff>30294</xdr:rowOff>
    </xdr:to>
    <xdr:graphicFrame macro="">
      <xdr:nvGraphicFramePr>
        <xdr:cNvPr id="11" name="Chart 10">
          <a:extLst>
            <a:ext uri="{FF2B5EF4-FFF2-40B4-BE49-F238E27FC236}">
              <a16:creationId xmlns:a16="http://schemas.microsoft.com/office/drawing/2014/main" id="{135B4FDC-1060-4F7B-AA61-21CA841169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0</xdr:colOff>
      <xdr:row>2</xdr:row>
      <xdr:rowOff>30480</xdr:rowOff>
    </xdr:from>
    <xdr:to>
      <xdr:col>7</xdr:col>
      <xdr:colOff>236220</xdr:colOff>
      <xdr:row>28</xdr:row>
      <xdr:rowOff>152400</xdr:rowOff>
    </xdr:to>
    <mc:AlternateContent xmlns:mc="http://schemas.openxmlformats.org/markup-compatibility/2006" xmlns:a14="http://schemas.microsoft.com/office/drawing/2010/main">
      <mc:Choice Requires="a14">
        <xdr:graphicFrame macro="">
          <xdr:nvGraphicFramePr>
            <xdr:cNvPr id="12" name="VEHICLE NUMBER">
              <a:extLst>
                <a:ext uri="{FF2B5EF4-FFF2-40B4-BE49-F238E27FC236}">
                  <a16:creationId xmlns:a16="http://schemas.microsoft.com/office/drawing/2014/main" id="{6426FB02-56BB-49FB-AAEA-EC9F26F7F193}"/>
                </a:ext>
              </a:extLst>
            </xdr:cNvPr>
            <xdr:cNvGraphicFramePr/>
          </xdr:nvGraphicFramePr>
          <xdr:xfrm>
            <a:off x="0" y="0"/>
            <a:ext cx="0" cy="0"/>
          </xdr:xfrm>
          <a:graphic>
            <a:graphicData uri="http://schemas.microsoft.com/office/drawing/2010/slicer">
              <sle:slicer xmlns:sle="http://schemas.microsoft.com/office/drawing/2010/slicer" name="VEHICLE NUMBER"/>
            </a:graphicData>
          </a:graphic>
        </xdr:graphicFrame>
      </mc:Choice>
      <mc:Fallback xmlns="">
        <xdr:sp macro="" textlink="">
          <xdr:nvSpPr>
            <xdr:cNvPr id="0" name=""/>
            <xdr:cNvSpPr>
              <a:spLocks noTextEdit="1"/>
            </xdr:cNvSpPr>
          </xdr:nvSpPr>
          <xdr:spPr>
            <a:xfrm>
              <a:off x="0" y="396240"/>
              <a:ext cx="4503420" cy="48768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487680</xdr:colOff>
      <xdr:row>0</xdr:row>
      <xdr:rowOff>0</xdr:rowOff>
    </xdr:from>
    <xdr:to>
      <xdr:col>8</xdr:col>
      <xdr:colOff>358140</xdr:colOff>
      <xdr:row>2</xdr:row>
      <xdr:rowOff>60959</xdr:rowOff>
    </xdr:to>
    <mc:AlternateContent xmlns:mc="http://schemas.openxmlformats.org/markup-compatibility/2006" xmlns:a14="http://schemas.microsoft.com/office/drawing/2010/main">
      <mc:Choice Requires="a14">
        <xdr:graphicFrame macro="">
          <xdr:nvGraphicFramePr>
            <xdr:cNvPr id="13" name="DRIVER NAME">
              <a:extLst>
                <a:ext uri="{FF2B5EF4-FFF2-40B4-BE49-F238E27FC236}">
                  <a16:creationId xmlns:a16="http://schemas.microsoft.com/office/drawing/2014/main" id="{B86C8B56-31AC-4AC6-8982-A839D31A7C9E}"/>
                </a:ext>
              </a:extLst>
            </xdr:cNvPr>
            <xdr:cNvGraphicFramePr/>
          </xdr:nvGraphicFramePr>
          <xdr:xfrm>
            <a:off x="0" y="0"/>
            <a:ext cx="0" cy="0"/>
          </xdr:xfrm>
          <a:graphic>
            <a:graphicData uri="http://schemas.microsoft.com/office/drawing/2010/slicer">
              <sle:slicer xmlns:sle="http://schemas.microsoft.com/office/drawing/2010/slicer" name="DRIVER NAME"/>
            </a:graphicData>
          </a:graphic>
        </xdr:graphicFrame>
      </mc:Choice>
      <mc:Fallback xmlns="">
        <xdr:sp macro="" textlink="">
          <xdr:nvSpPr>
            <xdr:cNvPr id="0" name=""/>
            <xdr:cNvSpPr>
              <a:spLocks noTextEdit="1"/>
            </xdr:cNvSpPr>
          </xdr:nvSpPr>
          <xdr:spPr>
            <a:xfrm>
              <a:off x="3535680" y="0"/>
              <a:ext cx="1699260" cy="4267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121920</xdr:colOff>
      <xdr:row>0</xdr:row>
      <xdr:rowOff>76199</xdr:rowOff>
    </xdr:from>
    <xdr:to>
      <xdr:col>5</xdr:col>
      <xdr:colOff>533400</xdr:colOff>
      <xdr:row>1</xdr:row>
      <xdr:rowOff>167639</xdr:rowOff>
    </xdr:to>
    <xdr:sp macro="" textlink="">
      <xdr:nvSpPr>
        <xdr:cNvPr id="15" name="Rectangle 14">
          <a:extLst>
            <a:ext uri="{FF2B5EF4-FFF2-40B4-BE49-F238E27FC236}">
              <a16:creationId xmlns:a16="http://schemas.microsoft.com/office/drawing/2014/main" id="{1AA76416-20A0-01F0-100E-EDFEC2083D33}"/>
            </a:ext>
          </a:extLst>
        </xdr:cNvPr>
        <xdr:cNvSpPr/>
      </xdr:nvSpPr>
      <xdr:spPr>
        <a:xfrm>
          <a:off x="2560320" y="76199"/>
          <a:ext cx="1021080" cy="274320"/>
        </a:xfrm>
        <a:prstGeom prst="rect">
          <a:avLst/>
        </a:prstGeom>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DRIVER NAME</a:t>
          </a:r>
        </a:p>
      </xdr:txBody>
    </xdr:sp>
    <xdr:clientData/>
  </xdr:twoCellAnchor>
  <xdr:twoCellAnchor editAs="oneCell">
    <xdr:from>
      <xdr:col>14</xdr:col>
      <xdr:colOff>525455</xdr:colOff>
      <xdr:row>14</xdr:row>
      <xdr:rowOff>59015</xdr:rowOff>
    </xdr:from>
    <xdr:to>
      <xdr:col>23</xdr:col>
      <xdr:colOff>299936</xdr:colOff>
      <xdr:row>17</xdr:row>
      <xdr:rowOff>154021</xdr:rowOff>
    </xdr:to>
    <mc:AlternateContent xmlns:mc="http://schemas.openxmlformats.org/markup-compatibility/2006" xmlns:a14="http://schemas.microsoft.com/office/drawing/2010/main">
      <mc:Choice Requires="a14">
        <xdr:graphicFrame macro="">
          <xdr:nvGraphicFramePr>
            <xdr:cNvPr id="28" name="Remarks">
              <a:extLst>
                <a:ext uri="{FF2B5EF4-FFF2-40B4-BE49-F238E27FC236}">
                  <a16:creationId xmlns:a16="http://schemas.microsoft.com/office/drawing/2014/main" id="{4B51FA55-C094-40E0-8948-B8FBFA92C9E0}"/>
                </a:ext>
              </a:extLst>
            </xdr:cNvPr>
            <xdr:cNvGraphicFramePr/>
          </xdr:nvGraphicFramePr>
          <xdr:xfrm>
            <a:off x="0" y="0"/>
            <a:ext cx="0" cy="0"/>
          </xdr:xfrm>
          <a:graphic>
            <a:graphicData uri="http://schemas.microsoft.com/office/drawing/2010/slicer">
              <sle:slicer xmlns:sle="http://schemas.microsoft.com/office/drawing/2010/slicer" name="Remarks"/>
            </a:graphicData>
          </a:graphic>
        </xdr:graphicFrame>
      </mc:Choice>
      <mc:Fallback xmlns="">
        <xdr:sp macro="" textlink="">
          <xdr:nvSpPr>
            <xdr:cNvPr id="0" name=""/>
            <xdr:cNvSpPr>
              <a:spLocks noTextEdit="1"/>
            </xdr:cNvSpPr>
          </xdr:nvSpPr>
          <xdr:spPr>
            <a:xfrm>
              <a:off x="9059855" y="2619335"/>
              <a:ext cx="5260881" cy="64364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525780</xdr:colOff>
      <xdr:row>3</xdr:row>
      <xdr:rowOff>167641</xdr:rowOff>
    </xdr:from>
    <xdr:to>
      <xdr:col>17</xdr:col>
      <xdr:colOff>525780</xdr:colOff>
      <xdr:row>7</xdr:row>
      <xdr:rowOff>76200</xdr:rowOff>
    </xdr:to>
    <mc:AlternateContent xmlns:mc="http://schemas.openxmlformats.org/markup-compatibility/2006" xmlns:a14="http://schemas.microsoft.com/office/drawing/2010/main">
      <mc:Choice Requires="a14">
        <xdr:graphicFrame macro="">
          <xdr:nvGraphicFramePr>
            <xdr:cNvPr id="29" name="VEHICLE TYPE">
              <a:extLst>
                <a:ext uri="{FF2B5EF4-FFF2-40B4-BE49-F238E27FC236}">
                  <a16:creationId xmlns:a16="http://schemas.microsoft.com/office/drawing/2014/main" id="{723937E4-1023-4B8F-A44C-5D20C5E5F9E5}"/>
                </a:ext>
              </a:extLst>
            </xdr:cNvPr>
            <xdr:cNvGraphicFramePr/>
          </xdr:nvGraphicFramePr>
          <xdr:xfrm>
            <a:off x="0" y="0"/>
            <a:ext cx="0" cy="0"/>
          </xdr:xfrm>
          <a:graphic>
            <a:graphicData uri="http://schemas.microsoft.com/office/drawing/2010/slicer">
              <sle:slicer xmlns:sle="http://schemas.microsoft.com/office/drawing/2010/slicer" name="VEHICLE TYPE"/>
            </a:graphicData>
          </a:graphic>
        </xdr:graphicFrame>
      </mc:Choice>
      <mc:Fallback xmlns="">
        <xdr:sp macro="" textlink="">
          <xdr:nvSpPr>
            <xdr:cNvPr id="0" name=""/>
            <xdr:cNvSpPr>
              <a:spLocks noTextEdit="1"/>
            </xdr:cNvSpPr>
          </xdr:nvSpPr>
          <xdr:spPr>
            <a:xfrm>
              <a:off x="9060180" y="716281"/>
              <a:ext cx="1828800" cy="6400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522700</xdr:colOff>
      <xdr:row>3</xdr:row>
      <xdr:rowOff>171532</xdr:rowOff>
    </xdr:from>
    <xdr:to>
      <xdr:col>20</xdr:col>
      <xdr:colOff>494490</xdr:colOff>
      <xdr:row>7</xdr:row>
      <xdr:rowOff>81064</xdr:rowOff>
    </xdr:to>
    <mc:AlternateContent xmlns:mc="http://schemas.openxmlformats.org/markup-compatibility/2006" xmlns:a14="http://schemas.microsoft.com/office/drawing/2010/main">
      <mc:Choice Requires="a14">
        <xdr:graphicFrame macro="">
          <xdr:nvGraphicFramePr>
            <xdr:cNvPr id="30" name="VEHICLE OWNER">
              <a:extLst>
                <a:ext uri="{FF2B5EF4-FFF2-40B4-BE49-F238E27FC236}">
                  <a16:creationId xmlns:a16="http://schemas.microsoft.com/office/drawing/2014/main" id="{3F55F7BF-6903-4CF9-99EC-DB23E6E95DB6}"/>
                </a:ext>
              </a:extLst>
            </xdr:cNvPr>
            <xdr:cNvGraphicFramePr/>
          </xdr:nvGraphicFramePr>
          <xdr:xfrm>
            <a:off x="0" y="0"/>
            <a:ext cx="0" cy="0"/>
          </xdr:xfrm>
          <a:graphic>
            <a:graphicData uri="http://schemas.microsoft.com/office/drawing/2010/slicer">
              <sle:slicer xmlns:sle="http://schemas.microsoft.com/office/drawing/2010/slicer" name="VEHICLE OWNER"/>
            </a:graphicData>
          </a:graphic>
        </xdr:graphicFrame>
      </mc:Choice>
      <mc:Fallback xmlns="">
        <xdr:sp macro="" textlink="">
          <xdr:nvSpPr>
            <xdr:cNvPr id="0" name=""/>
            <xdr:cNvSpPr>
              <a:spLocks noTextEdit="1"/>
            </xdr:cNvSpPr>
          </xdr:nvSpPr>
          <xdr:spPr>
            <a:xfrm>
              <a:off x="10885900" y="720172"/>
              <a:ext cx="1800590" cy="64105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525780</xdr:colOff>
      <xdr:row>0</xdr:row>
      <xdr:rowOff>60961</xdr:rowOff>
    </xdr:from>
    <xdr:to>
      <xdr:col>23</xdr:col>
      <xdr:colOff>308042</xdr:colOff>
      <xdr:row>3</xdr:row>
      <xdr:rowOff>175260</xdr:rowOff>
    </xdr:to>
    <mc:AlternateContent xmlns:mc="http://schemas.openxmlformats.org/markup-compatibility/2006" xmlns:a14="http://schemas.microsoft.com/office/drawing/2010/main">
      <mc:Choice Requires="a14">
        <xdr:graphicFrame macro="">
          <xdr:nvGraphicFramePr>
            <xdr:cNvPr id="31" name="END USER">
              <a:extLst>
                <a:ext uri="{FF2B5EF4-FFF2-40B4-BE49-F238E27FC236}">
                  <a16:creationId xmlns:a16="http://schemas.microsoft.com/office/drawing/2014/main" id="{97BC0BAE-CC9C-4532-94DB-10F6C9CEF8B8}"/>
                </a:ext>
              </a:extLst>
            </xdr:cNvPr>
            <xdr:cNvGraphicFramePr/>
          </xdr:nvGraphicFramePr>
          <xdr:xfrm>
            <a:off x="0" y="0"/>
            <a:ext cx="0" cy="0"/>
          </xdr:xfrm>
          <a:graphic>
            <a:graphicData uri="http://schemas.microsoft.com/office/drawing/2010/slicer">
              <sle:slicer xmlns:sle="http://schemas.microsoft.com/office/drawing/2010/slicer" name="END USER"/>
            </a:graphicData>
          </a:graphic>
        </xdr:graphicFrame>
      </mc:Choice>
      <mc:Fallback xmlns="">
        <xdr:sp macro="" textlink="">
          <xdr:nvSpPr>
            <xdr:cNvPr id="0" name=""/>
            <xdr:cNvSpPr>
              <a:spLocks noTextEdit="1"/>
            </xdr:cNvSpPr>
          </xdr:nvSpPr>
          <xdr:spPr>
            <a:xfrm>
              <a:off x="9060180" y="60961"/>
              <a:ext cx="5268662" cy="6629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496597</xdr:colOff>
      <xdr:row>3</xdr:row>
      <xdr:rowOff>176233</xdr:rowOff>
    </xdr:from>
    <xdr:to>
      <xdr:col>23</xdr:col>
      <xdr:colOff>299936</xdr:colOff>
      <xdr:row>7</xdr:row>
      <xdr:rowOff>81063</xdr:rowOff>
    </xdr:to>
    <mc:AlternateContent xmlns:mc="http://schemas.openxmlformats.org/markup-compatibility/2006" xmlns:a14="http://schemas.microsoft.com/office/drawing/2010/main">
      <mc:Choice Requires="a14">
        <xdr:graphicFrame macro="">
          <xdr:nvGraphicFramePr>
            <xdr:cNvPr id="32" name="RENT TYPE">
              <a:extLst>
                <a:ext uri="{FF2B5EF4-FFF2-40B4-BE49-F238E27FC236}">
                  <a16:creationId xmlns:a16="http://schemas.microsoft.com/office/drawing/2014/main" id="{00A44F13-E827-4A64-86F4-52F505FD7CA6}"/>
                </a:ext>
              </a:extLst>
            </xdr:cNvPr>
            <xdr:cNvGraphicFramePr/>
          </xdr:nvGraphicFramePr>
          <xdr:xfrm>
            <a:off x="0" y="0"/>
            <a:ext cx="0" cy="0"/>
          </xdr:xfrm>
          <a:graphic>
            <a:graphicData uri="http://schemas.microsoft.com/office/drawing/2010/slicer">
              <sle:slicer xmlns:sle="http://schemas.microsoft.com/office/drawing/2010/slicer" name="RENT TYPE"/>
            </a:graphicData>
          </a:graphic>
        </xdr:graphicFrame>
      </mc:Choice>
      <mc:Fallback xmlns="">
        <xdr:sp macro="" textlink="">
          <xdr:nvSpPr>
            <xdr:cNvPr id="0" name=""/>
            <xdr:cNvSpPr>
              <a:spLocks noTextEdit="1"/>
            </xdr:cNvSpPr>
          </xdr:nvSpPr>
          <xdr:spPr>
            <a:xfrm>
              <a:off x="12688597" y="724873"/>
              <a:ext cx="1632139" cy="6363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521078</xdr:colOff>
      <xdr:row>10</xdr:row>
      <xdr:rowOff>156291</xdr:rowOff>
    </xdr:from>
    <xdr:to>
      <xdr:col>20</xdr:col>
      <xdr:colOff>518809</xdr:colOff>
      <xdr:row>14</xdr:row>
      <xdr:rowOff>56745</xdr:rowOff>
    </xdr:to>
    <mc:AlternateContent xmlns:mc="http://schemas.openxmlformats.org/markup-compatibility/2006" xmlns:a14="http://schemas.microsoft.com/office/drawing/2010/main">
      <mc:Choice Requires="a14">
        <xdr:graphicFrame macro="">
          <xdr:nvGraphicFramePr>
            <xdr:cNvPr id="33" name="Total Km.">
              <a:extLst>
                <a:ext uri="{FF2B5EF4-FFF2-40B4-BE49-F238E27FC236}">
                  <a16:creationId xmlns:a16="http://schemas.microsoft.com/office/drawing/2014/main" id="{CDB7C941-D4D5-4D2C-A06C-1D2864CC007F}"/>
                </a:ext>
              </a:extLst>
            </xdr:cNvPr>
            <xdr:cNvGraphicFramePr/>
          </xdr:nvGraphicFramePr>
          <xdr:xfrm>
            <a:off x="0" y="0"/>
            <a:ext cx="0" cy="0"/>
          </xdr:xfrm>
          <a:graphic>
            <a:graphicData uri="http://schemas.microsoft.com/office/drawing/2010/slicer">
              <sle:slicer xmlns:sle="http://schemas.microsoft.com/office/drawing/2010/slicer" name="Total Km."/>
            </a:graphicData>
          </a:graphic>
        </xdr:graphicFrame>
      </mc:Choice>
      <mc:Fallback xmlns="">
        <xdr:sp macro="" textlink="">
          <xdr:nvSpPr>
            <xdr:cNvPr id="0" name=""/>
            <xdr:cNvSpPr>
              <a:spLocks noTextEdit="1"/>
            </xdr:cNvSpPr>
          </xdr:nvSpPr>
          <xdr:spPr>
            <a:xfrm>
              <a:off x="10884278" y="1985091"/>
              <a:ext cx="1826531" cy="63197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514756</xdr:colOff>
      <xdr:row>10</xdr:row>
      <xdr:rowOff>168775</xdr:rowOff>
    </xdr:from>
    <xdr:to>
      <xdr:col>23</xdr:col>
      <xdr:colOff>308042</xdr:colOff>
      <xdr:row>14</xdr:row>
      <xdr:rowOff>48639</xdr:rowOff>
    </xdr:to>
    <mc:AlternateContent xmlns:mc="http://schemas.openxmlformats.org/markup-compatibility/2006" xmlns:a14="http://schemas.microsoft.com/office/drawing/2010/main">
      <mc:Choice Requires="a14">
        <xdr:graphicFrame macro="">
          <xdr:nvGraphicFramePr>
            <xdr:cNvPr id="34" name="MILEAGE IN KM.">
              <a:extLst>
                <a:ext uri="{FF2B5EF4-FFF2-40B4-BE49-F238E27FC236}">
                  <a16:creationId xmlns:a16="http://schemas.microsoft.com/office/drawing/2014/main" id="{7647B4C1-8C90-41E7-8A37-E9A33FB95EB1}"/>
                </a:ext>
              </a:extLst>
            </xdr:cNvPr>
            <xdr:cNvGraphicFramePr/>
          </xdr:nvGraphicFramePr>
          <xdr:xfrm>
            <a:off x="0" y="0"/>
            <a:ext cx="0" cy="0"/>
          </xdr:xfrm>
          <a:graphic>
            <a:graphicData uri="http://schemas.microsoft.com/office/drawing/2010/slicer">
              <sle:slicer xmlns:sle="http://schemas.microsoft.com/office/drawing/2010/slicer" name="MILEAGE IN KM."/>
            </a:graphicData>
          </a:graphic>
        </xdr:graphicFrame>
      </mc:Choice>
      <mc:Fallback xmlns="">
        <xdr:sp macro="" textlink="">
          <xdr:nvSpPr>
            <xdr:cNvPr id="0" name=""/>
            <xdr:cNvSpPr>
              <a:spLocks noTextEdit="1"/>
            </xdr:cNvSpPr>
          </xdr:nvSpPr>
          <xdr:spPr>
            <a:xfrm>
              <a:off x="12706756" y="1997575"/>
              <a:ext cx="1622086" cy="61138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523024</xdr:colOff>
      <xdr:row>7</xdr:row>
      <xdr:rowOff>80417</xdr:rowOff>
    </xdr:from>
    <xdr:to>
      <xdr:col>17</xdr:col>
      <xdr:colOff>523024</xdr:colOff>
      <xdr:row>10</xdr:row>
      <xdr:rowOff>162129</xdr:rowOff>
    </xdr:to>
    <mc:AlternateContent xmlns:mc="http://schemas.openxmlformats.org/markup-compatibility/2006" xmlns:a14="http://schemas.microsoft.com/office/drawing/2010/main">
      <mc:Choice Requires="a14">
        <xdr:graphicFrame macro="">
          <xdr:nvGraphicFramePr>
            <xdr:cNvPr id="35" name="TOTAL EXPENSE">
              <a:extLst>
                <a:ext uri="{FF2B5EF4-FFF2-40B4-BE49-F238E27FC236}">
                  <a16:creationId xmlns:a16="http://schemas.microsoft.com/office/drawing/2014/main" id="{869932BF-BEE7-4EF5-969E-F0214F5192E4}"/>
                </a:ext>
              </a:extLst>
            </xdr:cNvPr>
            <xdr:cNvGraphicFramePr/>
          </xdr:nvGraphicFramePr>
          <xdr:xfrm>
            <a:off x="0" y="0"/>
            <a:ext cx="0" cy="0"/>
          </xdr:xfrm>
          <a:graphic>
            <a:graphicData uri="http://schemas.microsoft.com/office/drawing/2010/slicer">
              <sle:slicer xmlns:sle="http://schemas.microsoft.com/office/drawing/2010/slicer" name="TOTAL EXPENSE"/>
            </a:graphicData>
          </a:graphic>
        </xdr:graphicFrame>
      </mc:Choice>
      <mc:Fallback xmlns="">
        <xdr:sp macro="" textlink="">
          <xdr:nvSpPr>
            <xdr:cNvPr id="0" name=""/>
            <xdr:cNvSpPr>
              <a:spLocks noTextEdit="1"/>
            </xdr:cNvSpPr>
          </xdr:nvSpPr>
          <xdr:spPr>
            <a:xfrm>
              <a:off x="9057424" y="1360577"/>
              <a:ext cx="1828800" cy="63035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523186</xdr:colOff>
      <xdr:row>7</xdr:row>
      <xdr:rowOff>76687</xdr:rowOff>
    </xdr:from>
    <xdr:to>
      <xdr:col>20</xdr:col>
      <xdr:colOff>494490</xdr:colOff>
      <xdr:row>10</xdr:row>
      <xdr:rowOff>162127</xdr:rowOff>
    </xdr:to>
    <mc:AlternateContent xmlns:mc="http://schemas.openxmlformats.org/markup-compatibility/2006" xmlns:a14="http://schemas.microsoft.com/office/drawing/2010/main">
      <mc:Choice Requires="a14">
        <xdr:graphicFrame macro="">
          <xdr:nvGraphicFramePr>
            <xdr:cNvPr id="36" name="HKI INVOICE AMT.">
              <a:extLst>
                <a:ext uri="{FF2B5EF4-FFF2-40B4-BE49-F238E27FC236}">
                  <a16:creationId xmlns:a16="http://schemas.microsoft.com/office/drawing/2014/main" id="{AF616A0A-6DBE-44AA-A179-D9B52C243CC0}"/>
                </a:ext>
              </a:extLst>
            </xdr:cNvPr>
            <xdr:cNvGraphicFramePr/>
          </xdr:nvGraphicFramePr>
          <xdr:xfrm>
            <a:off x="0" y="0"/>
            <a:ext cx="0" cy="0"/>
          </xdr:xfrm>
          <a:graphic>
            <a:graphicData uri="http://schemas.microsoft.com/office/drawing/2010/slicer">
              <sle:slicer xmlns:sle="http://schemas.microsoft.com/office/drawing/2010/slicer" name="HKI INVOICE AMT."/>
            </a:graphicData>
          </a:graphic>
        </xdr:graphicFrame>
      </mc:Choice>
      <mc:Fallback xmlns="">
        <xdr:sp macro="" textlink="">
          <xdr:nvSpPr>
            <xdr:cNvPr id="0" name=""/>
            <xdr:cNvSpPr>
              <a:spLocks noTextEdit="1"/>
            </xdr:cNvSpPr>
          </xdr:nvSpPr>
          <xdr:spPr>
            <a:xfrm>
              <a:off x="10886386" y="1356847"/>
              <a:ext cx="1800104" cy="6340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499029</xdr:colOff>
      <xdr:row>7</xdr:row>
      <xdr:rowOff>81063</xdr:rowOff>
    </xdr:from>
    <xdr:to>
      <xdr:col>23</xdr:col>
      <xdr:colOff>308042</xdr:colOff>
      <xdr:row>10</xdr:row>
      <xdr:rowOff>162128</xdr:rowOff>
    </xdr:to>
    <mc:AlternateContent xmlns:mc="http://schemas.openxmlformats.org/markup-compatibility/2006" xmlns:a14="http://schemas.microsoft.com/office/drawing/2010/main">
      <mc:Choice Requires="a14">
        <xdr:graphicFrame macro="">
          <xdr:nvGraphicFramePr>
            <xdr:cNvPr id="37" name="NET PROFIT AMT.">
              <a:extLst>
                <a:ext uri="{FF2B5EF4-FFF2-40B4-BE49-F238E27FC236}">
                  <a16:creationId xmlns:a16="http://schemas.microsoft.com/office/drawing/2014/main" id="{C196889A-796F-40A9-B209-57B333A60C6C}"/>
                </a:ext>
              </a:extLst>
            </xdr:cNvPr>
            <xdr:cNvGraphicFramePr/>
          </xdr:nvGraphicFramePr>
          <xdr:xfrm>
            <a:off x="0" y="0"/>
            <a:ext cx="0" cy="0"/>
          </xdr:xfrm>
          <a:graphic>
            <a:graphicData uri="http://schemas.microsoft.com/office/drawing/2010/slicer">
              <sle:slicer xmlns:sle="http://schemas.microsoft.com/office/drawing/2010/slicer" name="NET PROFIT AMT."/>
            </a:graphicData>
          </a:graphic>
        </xdr:graphicFrame>
      </mc:Choice>
      <mc:Fallback xmlns="">
        <xdr:sp macro="" textlink="">
          <xdr:nvSpPr>
            <xdr:cNvPr id="0" name=""/>
            <xdr:cNvSpPr>
              <a:spLocks noTextEdit="1"/>
            </xdr:cNvSpPr>
          </xdr:nvSpPr>
          <xdr:spPr>
            <a:xfrm>
              <a:off x="12691029" y="1361223"/>
              <a:ext cx="1637813" cy="62970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523510</xdr:colOff>
      <xdr:row>10</xdr:row>
      <xdr:rowOff>162939</xdr:rowOff>
    </xdr:from>
    <xdr:to>
      <xdr:col>17</xdr:col>
      <xdr:colOff>523510</xdr:colOff>
      <xdr:row>14</xdr:row>
      <xdr:rowOff>56746</xdr:rowOff>
    </xdr:to>
    <mc:AlternateContent xmlns:mc="http://schemas.openxmlformats.org/markup-compatibility/2006" xmlns:a14="http://schemas.microsoft.com/office/drawing/2010/main">
      <mc:Choice Requires="a14">
        <xdr:graphicFrame macro="">
          <xdr:nvGraphicFramePr>
            <xdr:cNvPr id="38" name="NET LOSS AMT">
              <a:extLst>
                <a:ext uri="{FF2B5EF4-FFF2-40B4-BE49-F238E27FC236}">
                  <a16:creationId xmlns:a16="http://schemas.microsoft.com/office/drawing/2014/main" id="{563E2546-7D27-4774-BBEF-94DA8D85291E}"/>
                </a:ext>
              </a:extLst>
            </xdr:cNvPr>
            <xdr:cNvGraphicFramePr/>
          </xdr:nvGraphicFramePr>
          <xdr:xfrm>
            <a:off x="0" y="0"/>
            <a:ext cx="0" cy="0"/>
          </xdr:xfrm>
          <a:graphic>
            <a:graphicData uri="http://schemas.microsoft.com/office/drawing/2010/slicer">
              <sle:slicer xmlns:sle="http://schemas.microsoft.com/office/drawing/2010/slicer" name="NET LOSS AMT"/>
            </a:graphicData>
          </a:graphic>
        </xdr:graphicFrame>
      </mc:Choice>
      <mc:Fallback xmlns="">
        <xdr:sp macro="" textlink="">
          <xdr:nvSpPr>
            <xdr:cNvPr id="0" name=""/>
            <xdr:cNvSpPr>
              <a:spLocks noTextEdit="1"/>
            </xdr:cNvSpPr>
          </xdr:nvSpPr>
          <xdr:spPr>
            <a:xfrm>
              <a:off x="9057910" y="1991739"/>
              <a:ext cx="1828800" cy="62532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rupesh.kumar\Desktop\JULY%20MIS%20FOLDER\Fuel%20Sheet.xlsx" TargetMode="External"/><Relationship Id="rId1" Type="http://schemas.openxmlformats.org/officeDocument/2006/relationships/externalLinkPath" Target="Fuel%20Sheet.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C:\Users\rupesh.kumar\Desktop\JULY%20MIS%20FOLDER\Cab%20Invoice%20with%20vendor%20invoice.xls" TargetMode="External"/><Relationship Id="rId1" Type="http://schemas.openxmlformats.org/officeDocument/2006/relationships/externalLinkPath" Target="Cab%20Invoice%20with%20vendor%20invoice.xls"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file:///C:\Users\rupesh.kumar\Desktop\JULY%20MIS%20FOLDER\GGN%20DRIVER'S%20SALARY%20SHEET%20-%20JUl-26.xls" TargetMode="External"/><Relationship Id="rId1" Type="http://schemas.openxmlformats.org/officeDocument/2006/relationships/externalLinkPath" Target="GGN%20DRIVER'S%20SALARY%20SHEET%20-%20JUl-26.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NOV'21"/>
      <sheetName val="OCT'21"/>
      <sheetName val="SEP'21"/>
      <sheetName val="AUG'21"/>
      <sheetName val="JUL'21"/>
      <sheetName val="JUN'21"/>
      <sheetName val="MAR'21"/>
      <sheetName val="FEB'21"/>
      <sheetName val="JAN' 21"/>
      <sheetName val="DEC'21"/>
      <sheetName val="JAN'22"/>
      <sheetName val="FEB'22"/>
      <sheetName val="MAR'22"/>
      <sheetName val="APR'22"/>
      <sheetName val="MAY'22"/>
      <sheetName val="JUN'22"/>
      <sheetName val="JUL'22"/>
      <sheetName val="AUG'22"/>
      <sheetName val="SEP'22"/>
      <sheetName val="OCT'22"/>
      <sheetName val="NOV'22"/>
      <sheetName val="DEC'22"/>
      <sheetName val="JAN'23"/>
      <sheetName val="FEB'23"/>
      <sheetName val="MAR'23"/>
      <sheetName val="APR'23"/>
      <sheetName val="MAY'23"/>
      <sheetName val="JUN'23"/>
      <sheetName val="JUL'23"/>
      <sheetName val="AUG'23"/>
      <sheetName val="SEP'23"/>
      <sheetName val="OCT'23"/>
      <sheetName val="NOV'23"/>
      <sheetName val="DEC'23"/>
      <sheetName val="JAN'24"/>
      <sheetName val="FEB'24"/>
      <sheetName val="MAR'24"/>
      <sheetName val="APR'24"/>
      <sheetName val="MAY'24"/>
      <sheetName val="JUL'24"/>
      <sheetName val="JUN'24"/>
      <sheetName val="AUG 24"/>
      <sheetName val="SEP 24"/>
      <sheetName val="OCT 24"/>
      <sheetName val="NOV 24"/>
      <sheetName val="DEC.24"/>
      <sheetName val="JAN 25"/>
      <sheetName val="FEB 25"/>
      <sheetName val="MAR 25"/>
      <sheetName val="APRIL 25"/>
      <sheetName val="MAY 25"/>
      <sheetName val="JUNE 25"/>
      <sheetName val="JULY 25"/>
      <sheetName val="AUG 25"/>
      <sheetName val="SEP 25"/>
      <sheetName val="OCT 25"/>
      <sheetName val="NOV 25"/>
      <sheetName val="DEC. 25"/>
      <sheetName val="JAN 26"/>
      <sheetName val="FEB-26"/>
      <sheetName val="MAR-26"/>
      <sheetName val="APRIL 26"/>
      <sheetName val="MAY 26"/>
      <sheetName val="JUNE 26"/>
      <sheetName val="JULY 26"/>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row r="4">
          <cell r="C4" t="str">
            <v>3603</v>
          </cell>
          <cell r="D4" t="str">
            <v>HR-55AH-3603</v>
          </cell>
          <cell r="E4" t="str">
            <v>BRV</v>
          </cell>
          <cell r="F4">
            <v>158516</v>
          </cell>
          <cell r="G4">
            <v>161545</v>
          </cell>
          <cell r="H4">
            <v>3029</v>
          </cell>
          <cell r="I4">
            <v>275</v>
          </cell>
          <cell r="J4" t="str">
            <v>PETROL</v>
          </cell>
          <cell r="K4">
            <v>102.97</v>
          </cell>
          <cell r="L4">
            <v>28316.75</v>
          </cell>
          <cell r="M4">
            <v>9.3485473753714103</v>
          </cell>
          <cell r="N4">
            <v>11.014545454545454</v>
          </cell>
        </row>
        <row r="5">
          <cell r="C5" t="str">
            <v>4440</v>
          </cell>
          <cell r="D5" t="str">
            <v>HR-55AG-4440</v>
          </cell>
          <cell r="E5" t="str">
            <v>BRV</v>
          </cell>
          <cell r="F5">
            <v>185425</v>
          </cell>
          <cell r="G5">
            <v>188368</v>
          </cell>
          <cell r="H5">
            <v>2943</v>
          </cell>
          <cell r="I5">
            <v>273</v>
          </cell>
          <cell r="J5" t="str">
            <v>PETROL</v>
          </cell>
          <cell r="K5">
            <v>102.97</v>
          </cell>
          <cell r="L5">
            <v>28110.81</v>
          </cell>
          <cell r="M5">
            <v>9.5517533129459746</v>
          </cell>
          <cell r="N5">
            <v>10.780219780219781</v>
          </cell>
        </row>
        <row r="6">
          <cell r="C6" t="str">
            <v>8668</v>
          </cell>
          <cell r="D6" t="str">
            <v>HR-55AC-8668</v>
          </cell>
          <cell r="E6" t="str">
            <v>CRYSTA</v>
          </cell>
          <cell r="F6">
            <v>222552</v>
          </cell>
          <cell r="G6">
            <v>225933</v>
          </cell>
          <cell r="H6">
            <v>3381</v>
          </cell>
          <cell r="I6">
            <v>399</v>
          </cell>
          <cell r="J6" t="str">
            <v>PETROL</v>
          </cell>
          <cell r="K6">
            <v>102.97</v>
          </cell>
          <cell r="L6">
            <v>41085.03</v>
          </cell>
          <cell r="M6">
            <v>12.151739130434782</v>
          </cell>
          <cell r="N6">
            <v>8.473684210526315</v>
          </cell>
        </row>
        <row r="7">
          <cell r="C7" t="str">
            <v>5134</v>
          </cell>
          <cell r="D7" t="str">
            <v>HR-55AF-5134</v>
          </cell>
          <cell r="E7" t="str">
            <v>CRYSTA</v>
          </cell>
          <cell r="F7">
            <v>212844</v>
          </cell>
          <cell r="G7">
            <v>215599</v>
          </cell>
          <cell r="H7">
            <v>2755</v>
          </cell>
          <cell r="I7">
            <v>244</v>
          </cell>
          <cell r="J7" t="str">
            <v>DIESEL</v>
          </cell>
          <cell r="K7">
            <v>95.64</v>
          </cell>
          <cell r="L7">
            <v>23336.16</v>
          </cell>
          <cell r="M7">
            <v>8.4704754990925597</v>
          </cell>
          <cell r="N7">
            <v>11.290983606557377</v>
          </cell>
        </row>
        <row r="8">
          <cell r="C8" t="str">
            <v>5093</v>
          </cell>
          <cell r="D8" t="str">
            <v>HR-55AG-5093</v>
          </cell>
          <cell r="E8" t="str">
            <v>BRV</v>
          </cell>
          <cell r="F8">
            <v>105960</v>
          </cell>
          <cell r="G8">
            <v>109231</v>
          </cell>
          <cell r="H8">
            <v>3271</v>
          </cell>
          <cell r="I8">
            <v>276</v>
          </cell>
          <cell r="J8" t="str">
            <v>PETROL</v>
          </cell>
          <cell r="K8">
            <v>102.97</v>
          </cell>
          <cell r="L8">
            <v>28419.72</v>
          </cell>
          <cell r="M8">
            <v>8.6883888719046158</v>
          </cell>
          <cell r="N8">
            <v>11.851449275362318</v>
          </cell>
        </row>
        <row r="9">
          <cell r="C9" t="str">
            <v>1982</v>
          </cell>
          <cell r="D9" t="str">
            <v>HR-55AH-1982</v>
          </cell>
          <cell r="E9" t="str">
            <v>CRYSTA</v>
          </cell>
          <cell r="F9">
            <v>218605</v>
          </cell>
          <cell r="G9">
            <v>222095</v>
          </cell>
          <cell r="H9">
            <v>3490</v>
          </cell>
          <cell r="I9">
            <v>304</v>
          </cell>
          <cell r="J9" t="str">
            <v>DIESEL</v>
          </cell>
          <cell r="K9">
            <v>95.64</v>
          </cell>
          <cell r="L9">
            <v>29074.560000000001</v>
          </cell>
          <cell r="M9">
            <v>8.3308194842406884</v>
          </cell>
          <cell r="N9">
            <v>11.480263157894736</v>
          </cell>
        </row>
        <row r="10">
          <cell r="C10" t="str">
            <v>1451</v>
          </cell>
          <cell r="D10" t="str">
            <v>HR 55AG 1451</v>
          </cell>
          <cell r="E10" t="str">
            <v>CITY</v>
          </cell>
          <cell r="F10">
            <v>240546</v>
          </cell>
          <cell r="G10">
            <v>242447</v>
          </cell>
          <cell r="H10">
            <v>1901</v>
          </cell>
          <cell r="I10">
            <v>184</v>
          </cell>
          <cell r="J10" t="str">
            <v>PETROL</v>
          </cell>
          <cell r="K10">
            <v>102.97</v>
          </cell>
          <cell r="L10">
            <v>18946.48</v>
          </cell>
          <cell r="M10">
            <v>9.966586007364544</v>
          </cell>
          <cell r="N10">
            <v>10.331521739130435</v>
          </cell>
        </row>
        <row r="11">
          <cell r="C11" t="str">
            <v>3526</v>
          </cell>
          <cell r="D11" t="str">
            <v>HR-55AG-3526</v>
          </cell>
          <cell r="E11" t="str">
            <v>CRYSTA</v>
          </cell>
          <cell r="F11">
            <v>179947</v>
          </cell>
          <cell r="G11">
            <v>182465</v>
          </cell>
          <cell r="H11">
            <v>2518</v>
          </cell>
          <cell r="I11">
            <v>336</v>
          </cell>
          <cell r="J11" t="str">
            <v>PETROL</v>
          </cell>
          <cell r="K11">
            <v>102.97</v>
          </cell>
          <cell r="L11">
            <v>34597.919999999998</v>
          </cell>
          <cell r="M11">
            <v>13.74023828435266</v>
          </cell>
          <cell r="N11">
            <v>7.4940476190476186</v>
          </cell>
        </row>
        <row r="12">
          <cell r="C12" t="str">
            <v>0844</v>
          </cell>
          <cell r="D12" t="str">
            <v>HR-26-FU-0844</v>
          </cell>
          <cell r="E12" t="str">
            <v>ERTIGA</v>
          </cell>
          <cell r="F12">
            <v>163980</v>
          </cell>
          <cell r="G12">
            <v>166000</v>
          </cell>
          <cell r="H12">
            <v>2020</v>
          </cell>
          <cell r="I12">
            <v>141</v>
          </cell>
          <cell r="J12" t="str">
            <v>PETROL + CNG</v>
          </cell>
          <cell r="K12">
            <v>91.7</v>
          </cell>
          <cell r="L12">
            <v>12929.7</v>
          </cell>
          <cell r="M12">
            <v>6.4008415841584165</v>
          </cell>
          <cell r="N12">
            <v>14.326241134751774</v>
          </cell>
        </row>
        <row r="13">
          <cell r="C13" t="str">
            <v>8939</v>
          </cell>
          <cell r="D13" t="str">
            <v>HR-55AH-8939</v>
          </cell>
          <cell r="E13" t="str">
            <v>DZIRE</v>
          </cell>
          <cell r="F13">
            <v>121269</v>
          </cell>
          <cell r="G13">
            <v>123125</v>
          </cell>
          <cell r="H13">
            <v>1856</v>
          </cell>
          <cell r="I13">
            <v>121</v>
          </cell>
          <cell r="J13" t="str">
            <v>PETROL</v>
          </cell>
          <cell r="K13">
            <v>102.97</v>
          </cell>
          <cell r="L13">
            <v>12459.369999999999</v>
          </cell>
          <cell r="M13">
            <v>6.7130226293103439</v>
          </cell>
          <cell r="N13">
            <v>15.338842975206612</v>
          </cell>
        </row>
        <row r="14">
          <cell r="C14" t="str">
            <v>0458</v>
          </cell>
          <cell r="D14" t="str">
            <v>HR-98V-0458</v>
          </cell>
          <cell r="E14" t="str">
            <v>ELIVATE</v>
          </cell>
          <cell r="F14">
            <v>24278</v>
          </cell>
          <cell r="G14">
            <v>25978</v>
          </cell>
          <cell r="H14">
            <v>1700</v>
          </cell>
          <cell r="I14">
            <v>228</v>
          </cell>
          <cell r="J14" t="str">
            <v>PETROL</v>
          </cell>
          <cell r="K14">
            <v>102.97</v>
          </cell>
          <cell r="L14">
            <v>23477.16</v>
          </cell>
          <cell r="M14">
            <v>13.81009411764706</v>
          </cell>
          <cell r="N14">
            <v>7.4561403508771926</v>
          </cell>
        </row>
        <row r="15">
          <cell r="C15" t="str">
            <v>0471</v>
          </cell>
          <cell r="D15" t="str">
            <v>HR-55AB-0471</v>
          </cell>
          <cell r="E15" t="str">
            <v>BRV</v>
          </cell>
          <cell r="F15">
            <v>220580</v>
          </cell>
          <cell r="G15">
            <v>223400</v>
          </cell>
          <cell r="H15">
            <v>2820</v>
          </cell>
          <cell r="I15">
            <v>289</v>
          </cell>
          <cell r="J15" t="str">
            <v>PETROL</v>
          </cell>
          <cell r="K15">
            <v>102.97</v>
          </cell>
          <cell r="L15">
            <v>29758.329999999998</v>
          </cell>
          <cell r="M15">
            <v>10.552599290780142</v>
          </cell>
          <cell r="N15">
            <v>9.7577854671280271</v>
          </cell>
        </row>
        <row r="16">
          <cell r="C16" t="str">
            <v>1755</v>
          </cell>
          <cell r="D16" t="str">
            <v>HR-26CX-1755</v>
          </cell>
          <cell r="E16" t="str">
            <v>BRV</v>
          </cell>
          <cell r="I16">
            <v>0</v>
          </cell>
          <cell r="J16" t="str">
            <v>PETROL</v>
          </cell>
          <cell r="K16">
            <v>102.97</v>
          </cell>
          <cell r="L16">
            <v>0</v>
          </cell>
          <cell r="M16" t="e">
            <v>#DIV/0!</v>
          </cell>
          <cell r="N16" t="e">
            <v>#DIV/0!</v>
          </cell>
        </row>
        <row r="17">
          <cell r="C17" t="str">
            <v>5787</v>
          </cell>
          <cell r="D17" t="str">
            <v>HR-55AK-5787</v>
          </cell>
          <cell r="E17" t="str">
            <v>CRYSTA</v>
          </cell>
          <cell r="F17">
            <v>47724</v>
          </cell>
          <cell r="G17">
            <v>48595</v>
          </cell>
          <cell r="H17">
            <v>871</v>
          </cell>
          <cell r="I17">
            <v>105</v>
          </cell>
          <cell r="J17" t="str">
            <v>DIESEL</v>
          </cell>
          <cell r="K17">
            <v>95.64</v>
          </cell>
          <cell r="L17">
            <v>10042.200000000001</v>
          </cell>
          <cell r="M17">
            <v>11.529506314580942</v>
          </cell>
          <cell r="N17">
            <v>8.295238095238096</v>
          </cell>
        </row>
        <row r="18">
          <cell r="C18" t="str">
            <v>8299</v>
          </cell>
          <cell r="D18" t="str">
            <v>HR-55-BD-8299</v>
          </cell>
          <cell r="E18" t="str">
            <v>ELIVATE</v>
          </cell>
          <cell r="F18">
            <v>1931</v>
          </cell>
          <cell r="G18">
            <v>3670</v>
          </cell>
          <cell r="H18">
            <v>1739</v>
          </cell>
          <cell r="I18">
            <v>168</v>
          </cell>
          <cell r="J18" t="str">
            <v>PETROL</v>
          </cell>
          <cell r="K18">
            <v>102.97</v>
          </cell>
          <cell r="L18">
            <v>17298.96</v>
          </cell>
          <cell r="M18">
            <v>9.9476480736055191</v>
          </cell>
          <cell r="N18">
            <v>10.351190476190476</v>
          </cell>
        </row>
        <row r="19">
          <cell r="C19" t="str">
            <v>2477</v>
          </cell>
          <cell r="D19" t="str">
            <v>HR-55AC-2477</v>
          </cell>
          <cell r="E19" t="str">
            <v>AMAZE</v>
          </cell>
          <cell r="F19">
            <v>101548</v>
          </cell>
          <cell r="G19">
            <v>103915</v>
          </cell>
          <cell r="H19">
            <v>2367</v>
          </cell>
          <cell r="I19">
            <v>242</v>
          </cell>
          <cell r="J19" t="str">
            <v>PETROL</v>
          </cell>
          <cell r="K19">
            <v>102.97</v>
          </cell>
          <cell r="L19">
            <v>24918.739999999998</v>
          </cell>
          <cell r="M19">
            <v>10.527562315166877</v>
          </cell>
          <cell r="N19">
            <v>9.7809917355371905</v>
          </cell>
        </row>
        <row r="20">
          <cell r="C20" t="str">
            <v>7954</v>
          </cell>
          <cell r="D20" t="str">
            <v>HR-26-FT-7954</v>
          </cell>
          <cell r="E20" t="str">
            <v>CAMPER</v>
          </cell>
          <cell r="F20">
            <v>40722</v>
          </cell>
          <cell r="G20">
            <v>44039</v>
          </cell>
          <cell r="H20">
            <v>3317</v>
          </cell>
          <cell r="I20">
            <v>291</v>
          </cell>
          <cell r="J20" t="str">
            <v>DIESEL</v>
          </cell>
          <cell r="K20">
            <v>95.64</v>
          </cell>
          <cell r="L20">
            <v>27831.24</v>
          </cell>
          <cell r="M20">
            <v>8.3904853783539348</v>
          </cell>
          <cell r="N20">
            <v>11.398625429553265</v>
          </cell>
        </row>
        <row r="21">
          <cell r="C21" t="str">
            <v>6088</v>
          </cell>
          <cell r="D21" t="str">
            <v>HR-26EV-6088</v>
          </cell>
          <cell r="E21" t="str">
            <v>AMAZE</v>
          </cell>
          <cell r="F21">
            <v>204080</v>
          </cell>
          <cell r="G21">
            <v>204680</v>
          </cell>
          <cell r="H21">
            <v>600</v>
          </cell>
          <cell r="I21">
            <v>64</v>
          </cell>
          <cell r="J21" t="str">
            <v>PETROL</v>
          </cell>
          <cell r="K21">
            <v>102.97</v>
          </cell>
          <cell r="L21">
            <v>6590.08</v>
          </cell>
          <cell r="M21">
            <v>10.983466666666667</v>
          </cell>
          <cell r="N21">
            <v>9.375</v>
          </cell>
        </row>
        <row r="22">
          <cell r="C22" t="str">
            <v>8882</v>
          </cell>
          <cell r="D22" t="str">
            <v>HR-26-FZ-8882</v>
          </cell>
          <cell r="E22" t="str">
            <v>ELIVATE</v>
          </cell>
          <cell r="F22">
            <v>9536</v>
          </cell>
          <cell r="G22">
            <v>10851</v>
          </cell>
          <cell r="H22">
            <v>1315</v>
          </cell>
          <cell r="I22">
            <v>118</v>
          </cell>
          <cell r="J22" t="str">
            <v>PETROL</v>
          </cell>
          <cell r="K22">
            <v>102.97</v>
          </cell>
          <cell r="L22">
            <v>12150.46</v>
          </cell>
          <cell r="M22">
            <v>9.2398935361216719</v>
          </cell>
          <cell r="N22">
            <v>11.14406779661017</v>
          </cell>
        </row>
        <row r="23">
          <cell r="C23" t="str">
            <v>3560</v>
          </cell>
          <cell r="D23" t="str">
            <v>HR-55-AZ-3560</v>
          </cell>
          <cell r="E23" t="str">
            <v>CRYSTA</v>
          </cell>
          <cell r="F23">
            <v>13071</v>
          </cell>
          <cell r="G23">
            <v>14249</v>
          </cell>
          <cell r="H23">
            <v>1178</v>
          </cell>
          <cell r="I23">
            <v>98</v>
          </cell>
          <cell r="J23" t="str">
            <v>DIESEL</v>
          </cell>
          <cell r="K23">
            <v>95.64</v>
          </cell>
          <cell r="L23">
            <v>9372.7199999999993</v>
          </cell>
          <cell r="M23">
            <v>7.9564685908319177</v>
          </cell>
          <cell r="N23">
            <v>12.020408163265307</v>
          </cell>
        </row>
        <row r="24">
          <cell r="C24" t="str">
            <v>3356</v>
          </cell>
          <cell r="D24" t="str">
            <v>HR-55-AZ-3356</v>
          </cell>
          <cell r="E24" t="str">
            <v>CRYSTA</v>
          </cell>
          <cell r="F24">
            <v>20947</v>
          </cell>
          <cell r="G24">
            <v>23816</v>
          </cell>
          <cell r="H24">
            <v>2869</v>
          </cell>
          <cell r="I24">
            <v>278</v>
          </cell>
          <cell r="J24" t="str">
            <v>DIESEL</v>
          </cell>
          <cell r="K24">
            <v>95.64</v>
          </cell>
          <cell r="L24">
            <v>26587.920000000002</v>
          </cell>
          <cell r="M24">
            <v>9.2673126524921585</v>
          </cell>
          <cell r="N24">
            <v>10.320143884892087</v>
          </cell>
        </row>
        <row r="25">
          <cell r="C25" t="str">
            <v>1637</v>
          </cell>
          <cell r="D25" t="str">
            <v>HR-55-BC-1637</v>
          </cell>
          <cell r="E25" t="str">
            <v>CRYSTA</v>
          </cell>
          <cell r="F25">
            <v>7950</v>
          </cell>
          <cell r="G25">
            <v>11817</v>
          </cell>
          <cell r="H25">
            <v>3867</v>
          </cell>
          <cell r="I25">
            <v>297</v>
          </cell>
          <cell r="J25" t="str">
            <v>PETROL</v>
          </cell>
          <cell r="K25">
            <v>102.97</v>
          </cell>
          <cell r="L25">
            <v>30582.09</v>
          </cell>
          <cell r="M25">
            <v>7.9084794414274633</v>
          </cell>
          <cell r="N25">
            <v>13.020202020202021</v>
          </cell>
        </row>
        <row r="26">
          <cell r="C26" t="str">
            <v>3898</v>
          </cell>
          <cell r="D26" t="str">
            <v>HR-55-BA-3898</v>
          </cell>
          <cell r="E26" t="str">
            <v>AMAZE</v>
          </cell>
          <cell r="F26">
            <v>14958</v>
          </cell>
          <cell r="G26">
            <v>17436</v>
          </cell>
          <cell r="H26">
            <v>2478</v>
          </cell>
          <cell r="I26">
            <v>201</v>
          </cell>
          <cell r="J26" t="str">
            <v>PETROL</v>
          </cell>
          <cell r="K26">
            <v>102.97</v>
          </cell>
          <cell r="L26">
            <v>20696.97</v>
          </cell>
          <cell r="M26">
            <v>8.3522881355932217</v>
          </cell>
          <cell r="N26">
            <v>12.328358208955224</v>
          </cell>
        </row>
        <row r="27">
          <cell r="C27" t="str">
            <v>4206</v>
          </cell>
          <cell r="D27" t="str">
            <v>HR-55-BB-4206</v>
          </cell>
          <cell r="E27" t="str">
            <v>CRYSTA</v>
          </cell>
          <cell r="F27">
            <v>11338</v>
          </cell>
          <cell r="G27">
            <v>16479</v>
          </cell>
          <cell r="H27">
            <v>5141</v>
          </cell>
          <cell r="I27">
            <v>414</v>
          </cell>
          <cell r="J27" t="str">
            <v>DIESEL</v>
          </cell>
          <cell r="K27">
            <v>95.64</v>
          </cell>
          <cell r="L27">
            <v>39594.959999999999</v>
          </cell>
          <cell r="M27">
            <v>7.7018012059910523</v>
          </cell>
          <cell r="N27">
            <v>12.417874396135266</v>
          </cell>
        </row>
        <row r="28">
          <cell r="C28" t="str">
            <v>1040</v>
          </cell>
          <cell r="D28" t="str">
            <v>HR-47F-1040</v>
          </cell>
          <cell r="E28" t="str">
            <v>XL6</v>
          </cell>
          <cell r="F28">
            <v>104520</v>
          </cell>
          <cell r="G28">
            <v>108500</v>
          </cell>
          <cell r="H28">
            <v>3980</v>
          </cell>
          <cell r="I28">
            <v>340</v>
          </cell>
          <cell r="J28" t="str">
            <v>PETROL</v>
          </cell>
          <cell r="K28">
            <v>102.97</v>
          </cell>
          <cell r="L28">
            <v>35009.800000000003</v>
          </cell>
          <cell r="M28">
            <v>8.7964321608040201</v>
          </cell>
          <cell r="N28">
            <v>11.705882352941176</v>
          </cell>
        </row>
        <row r="29">
          <cell r="C29" t="str">
            <v>5895</v>
          </cell>
          <cell r="D29" t="str">
            <v>HR-26EW-5895</v>
          </cell>
          <cell r="E29" t="str">
            <v>XL6</v>
          </cell>
          <cell r="F29">
            <v>47087</v>
          </cell>
          <cell r="G29">
            <v>48652</v>
          </cell>
          <cell r="H29">
            <v>1565</v>
          </cell>
          <cell r="I29">
            <v>135</v>
          </cell>
          <cell r="J29" t="str">
            <v>PETROL</v>
          </cell>
          <cell r="K29">
            <v>102.97</v>
          </cell>
          <cell r="L29">
            <v>13900.95</v>
          </cell>
          <cell r="M29">
            <v>8.8823961661341855</v>
          </cell>
          <cell r="N29">
            <v>11.592592592592593</v>
          </cell>
        </row>
        <row r="30">
          <cell r="C30" t="str">
            <v>0944</v>
          </cell>
          <cell r="D30" t="str">
            <v>HR-66C-0944</v>
          </cell>
          <cell r="E30" t="str">
            <v>CRYSTA</v>
          </cell>
          <cell r="F30">
            <v>59510</v>
          </cell>
          <cell r="G30">
            <v>63258</v>
          </cell>
          <cell r="H30">
            <v>3748</v>
          </cell>
          <cell r="I30">
            <v>314</v>
          </cell>
          <cell r="J30" t="str">
            <v>DIESEL</v>
          </cell>
          <cell r="K30">
            <v>95</v>
          </cell>
          <cell r="L30">
            <v>29830</v>
          </cell>
          <cell r="M30">
            <v>7.9589114194236927</v>
          </cell>
          <cell r="N30">
            <v>11.936305732484076</v>
          </cell>
        </row>
        <row r="31">
          <cell r="C31" t="str">
            <v>4866</v>
          </cell>
          <cell r="D31" t="str">
            <v>HR-55-AX-4866</v>
          </cell>
          <cell r="E31" t="str">
            <v>XL6</v>
          </cell>
          <cell r="F31">
            <v>31642</v>
          </cell>
          <cell r="G31">
            <v>34130</v>
          </cell>
          <cell r="H31">
            <v>2488</v>
          </cell>
          <cell r="I31">
            <v>195</v>
          </cell>
          <cell r="J31" t="str">
            <v>PETROL</v>
          </cell>
          <cell r="K31">
            <v>102.97</v>
          </cell>
          <cell r="L31">
            <v>20079.150000000001</v>
          </cell>
          <cell r="M31">
            <v>8.0703979099678467</v>
          </cell>
          <cell r="N31">
            <v>12.75897435897436</v>
          </cell>
        </row>
        <row r="32">
          <cell r="C32" t="str">
            <v>4572</v>
          </cell>
          <cell r="D32" t="str">
            <v>HR-66B-4572</v>
          </cell>
          <cell r="E32" t="str">
            <v>CRYSTA</v>
          </cell>
          <cell r="F32">
            <v>74896</v>
          </cell>
          <cell r="G32">
            <v>78682</v>
          </cell>
          <cell r="H32">
            <v>3786</v>
          </cell>
          <cell r="I32">
            <v>293</v>
          </cell>
          <cell r="J32" t="str">
            <v>DIESEL</v>
          </cell>
          <cell r="K32">
            <v>95</v>
          </cell>
          <cell r="L32">
            <v>27835</v>
          </cell>
          <cell r="M32">
            <v>7.3520866349709459</v>
          </cell>
          <cell r="N32">
            <v>12.921501706484642</v>
          </cell>
        </row>
        <row r="33">
          <cell r="C33" t="str">
            <v>1846</v>
          </cell>
          <cell r="D33" t="str">
            <v>HR-55AL-1846</v>
          </cell>
          <cell r="E33" t="str">
            <v>XL6</v>
          </cell>
          <cell r="F33">
            <v>141064</v>
          </cell>
          <cell r="G33">
            <v>144197</v>
          </cell>
          <cell r="H33">
            <v>3133</v>
          </cell>
          <cell r="I33">
            <v>275</v>
          </cell>
          <cell r="J33" t="str">
            <v>PETROL</v>
          </cell>
          <cell r="K33">
            <v>102.97</v>
          </cell>
          <cell r="L33">
            <v>28316.75</v>
          </cell>
          <cell r="M33">
            <v>9.0382221512926915</v>
          </cell>
          <cell r="N33">
            <v>11.392727272727273</v>
          </cell>
        </row>
        <row r="34">
          <cell r="C34" t="str">
            <v>8495</v>
          </cell>
          <cell r="D34" t="str">
            <v>HR-55AL-8495</v>
          </cell>
          <cell r="E34" t="str">
            <v>XL6</v>
          </cell>
          <cell r="F34">
            <v>138717</v>
          </cell>
          <cell r="G34">
            <v>141278</v>
          </cell>
          <cell r="H34">
            <v>2561</v>
          </cell>
          <cell r="I34">
            <v>190</v>
          </cell>
          <cell r="J34" t="str">
            <v>PETROL</v>
          </cell>
          <cell r="K34">
            <v>102.97</v>
          </cell>
          <cell r="L34">
            <v>19564.3</v>
          </cell>
          <cell r="M34">
            <v>7.6393205778992579</v>
          </cell>
          <cell r="N34">
            <v>13.478947368421053</v>
          </cell>
        </row>
        <row r="35">
          <cell r="C35" t="str">
            <v>7616</v>
          </cell>
          <cell r="D35" t="str">
            <v>HR-26FB-7616</v>
          </cell>
          <cell r="E35" t="str">
            <v>CRYSTA</v>
          </cell>
          <cell r="F35">
            <v>70275</v>
          </cell>
          <cell r="G35">
            <v>70950</v>
          </cell>
          <cell r="H35">
            <v>675</v>
          </cell>
          <cell r="I35">
            <v>0</v>
          </cell>
          <cell r="J35" t="str">
            <v>PETROL</v>
          </cell>
          <cell r="K35">
            <v>102.97</v>
          </cell>
          <cell r="L35">
            <v>0</v>
          </cell>
          <cell r="M35">
            <v>0</v>
          </cell>
          <cell r="N35" t="e">
            <v>#DIV/0!</v>
          </cell>
        </row>
        <row r="36">
          <cell r="C36" t="str">
            <v>5921</v>
          </cell>
          <cell r="D36" t="str">
            <v>HR-55AL-5921</v>
          </cell>
          <cell r="E36" t="str">
            <v>CRYSTA</v>
          </cell>
          <cell r="F36">
            <v>118018</v>
          </cell>
          <cell r="G36">
            <v>121419</v>
          </cell>
          <cell r="H36">
            <v>3401</v>
          </cell>
          <cell r="I36">
            <v>273</v>
          </cell>
          <cell r="J36" t="str">
            <v>DIESEL</v>
          </cell>
          <cell r="K36">
            <v>95</v>
          </cell>
          <cell r="L36">
            <v>25935</v>
          </cell>
          <cell r="M36">
            <v>7.6256983240223466</v>
          </cell>
          <cell r="N36">
            <v>12.457875457875458</v>
          </cell>
        </row>
        <row r="37">
          <cell r="C37" t="str">
            <v>8938</v>
          </cell>
          <cell r="D37" t="str">
            <v>HR-66C-8938</v>
          </cell>
          <cell r="E37" t="str">
            <v>XL6</v>
          </cell>
          <cell r="F37">
            <v>72063</v>
          </cell>
          <cell r="G37">
            <v>75534</v>
          </cell>
          <cell r="H37">
            <v>3471</v>
          </cell>
          <cell r="I37">
            <v>292</v>
          </cell>
          <cell r="J37" t="str">
            <v>PETROL</v>
          </cell>
          <cell r="K37">
            <v>102.97</v>
          </cell>
          <cell r="L37">
            <v>30067.239999999998</v>
          </cell>
          <cell r="M37">
            <v>8.6624142898300196</v>
          </cell>
          <cell r="N37">
            <v>11.886986301369863</v>
          </cell>
        </row>
        <row r="38">
          <cell r="C38" t="str">
            <v>1096</v>
          </cell>
          <cell r="D38" t="str">
            <v>HR-55AR-1096</v>
          </cell>
          <cell r="E38" t="str">
            <v>XL6</v>
          </cell>
          <cell r="F38">
            <v>80924</v>
          </cell>
          <cell r="G38">
            <v>84242</v>
          </cell>
          <cell r="H38">
            <v>3318</v>
          </cell>
          <cell r="I38">
            <v>257</v>
          </cell>
          <cell r="J38" t="str">
            <v>PETROL</v>
          </cell>
          <cell r="K38">
            <v>102.97</v>
          </cell>
          <cell r="L38">
            <v>26463.29</v>
          </cell>
          <cell r="M38">
            <v>7.975675105485232</v>
          </cell>
          <cell r="N38">
            <v>12.910505836575876</v>
          </cell>
        </row>
        <row r="39">
          <cell r="C39" t="str">
            <v>5680</v>
          </cell>
          <cell r="D39" t="str">
            <v>HR-47F-5680</v>
          </cell>
          <cell r="E39" t="str">
            <v>Rumion</v>
          </cell>
          <cell r="F39">
            <v>80819</v>
          </cell>
          <cell r="G39">
            <v>84825</v>
          </cell>
          <cell r="H39">
            <v>4006</v>
          </cell>
          <cell r="I39">
            <v>321</v>
          </cell>
          <cell r="J39" t="str">
            <v>PETROL+CNG</v>
          </cell>
          <cell r="K39">
            <v>90</v>
          </cell>
          <cell r="L39">
            <v>28890</v>
          </cell>
          <cell r="M39">
            <v>7.2116824762855716</v>
          </cell>
          <cell r="N39">
            <v>12.4797507788162</v>
          </cell>
        </row>
        <row r="40">
          <cell r="C40" t="str">
            <v>0292</v>
          </cell>
          <cell r="D40" t="str">
            <v>HR-66-C-0292</v>
          </cell>
          <cell r="E40" t="str">
            <v>CRYSTA</v>
          </cell>
          <cell r="F40">
            <v>45346</v>
          </cell>
          <cell r="G40">
            <v>47980</v>
          </cell>
          <cell r="H40">
            <v>2634</v>
          </cell>
          <cell r="I40">
            <v>213</v>
          </cell>
          <cell r="J40" t="str">
            <v>DIESEL</v>
          </cell>
          <cell r="K40">
            <v>98</v>
          </cell>
          <cell r="L40">
            <v>20874</v>
          </cell>
          <cell r="M40">
            <v>7.9248291571753988</v>
          </cell>
          <cell r="N40">
            <v>12.366197183098592</v>
          </cell>
        </row>
        <row r="41">
          <cell r="C41" t="str">
            <v>2987</v>
          </cell>
          <cell r="D41" t="str">
            <v>HR-66C-2987</v>
          </cell>
          <cell r="E41" t="str">
            <v>CRYSTA</v>
          </cell>
          <cell r="F41">
            <v>56504</v>
          </cell>
          <cell r="G41">
            <v>57575</v>
          </cell>
          <cell r="H41">
            <v>1071</v>
          </cell>
          <cell r="I41">
            <v>102</v>
          </cell>
          <cell r="J41" t="str">
            <v>DIESEL</v>
          </cell>
          <cell r="K41">
            <v>95</v>
          </cell>
          <cell r="L41">
            <v>9690</v>
          </cell>
          <cell r="M41">
            <v>9.0476190476190474</v>
          </cell>
          <cell r="N41">
            <v>10.5</v>
          </cell>
        </row>
        <row r="42">
          <cell r="C42" t="str">
            <v>2856</v>
          </cell>
          <cell r="D42" t="str">
            <v>HR 66 C 2856</v>
          </cell>
          <cell r="E42" t="str">
            <v>CRYSTA</v>
          </cell>
          <cell r="F42">
            <v>89405</v>
          </cell>
          <cell r="G42">
            <v>92212</v>
          </cell>
          <cell r="H42">
            <v>2807</v>
          </cell>
          <cell r="I42">
            <v>265</v>
          </cell>
          <cell r="J42" t="str">
            <v>DIESEL</v>
          </cell>
          <cell r="K42">
            <v>95</v>
          </cell>
          <cell r="L42">
            <v>25175</v>
          </cell>
          <cell r="M42">
            <v>8.9686498040612754</v>
          </cell>
          <cell r="N42">
            <v>10.592452830188678</v>
          </cell>
        </row>
        <row r="43">
          <cell r="C43" t="str">
            <v>9469</v>
          </cell>
          <cell r="D43" t="str">
            <v>HR-47-E-9469</v>
          </cell>
          <cell r="E43" t="str">
            <v>CRYSTA</v>
          </cell>
          <cell r="F43">
            <v>92708</v>
          </cell>
          <cell r="G43">
            <v>96509</v>
          </cell>
          <cell r="H43">
            <v>3801</v>
          </cell>
          <cell r="I43">
            <v>302</v>
          </cell>
          <cell r="J43" t="str">
            <v>DIESEL</v>
          </cell>
          <cell r="K43">
            <v>95</v>
          </cell>
          <cell r="L43">
            <v>28690</v>
          </cell>
          <cell r="M43">
            <v>7.5480136806103655</v>
          </cell>
          <cell r="N43">
            <v>12.586092715231787</v>
          </cell>
        </row>
        <row r="44">
          <cell r="C44" t="str">
            <v>1538</v>
          </cell>
          <cell r="D44" t="str">
            <v>HR-66-D-1538</v>
          </cell>
          <cell r="E44" t="str">
            <v>CRYSTA</v>
          </cell>
          <cell r="F44">
            <v>46136</v>
          </cell>
          <cell r="G44">
            <v>48585</v>
          </cell>
          <cell r="H44">
            <v>2449</v>
          </cell>
          <cell r="I44">
            <v>205</v>
          </cell>
          <cell r="J44" t="str">
            <v>DIESEL</v>
          </cell>
          <cell r="K44">
            <v>95</v>
          </cell>
          <cell r="L44">
            <v>19475</v>
          </cell>
          <cell r="M44">
            <v>7.9522253981216826</v>
          </cell>
          <cell r="N44">
            <v>11.946341463414635</v>
          </cell>
        </row>
        <row r="45">
          <cell r="C45" t="str">
            <v>1428</v>
          </cell>
          <cell r="D45" t="str">
            <v>HR-55-AX-1428</v>
          </cell>
          <cell r="E45" t="str">
            <v>INVICTO</v>
          </cell>
          <cell r="F45">
            <v>29126</v>
          </cell>
          <cell r="G45">
            <v>31122</v>
          </cell>
          <cell r="H45">
            <v>1996</v>
          </cell>
          <cell r="I45">
            <v>112</v>
          </cell>
          <cell r="J45" t="str">
            <v>PETROL</v>
          </cell>
          <cell r="K45">
            <v>102.97</v>
          </cell>
          <cell r="L45">
            <v>11532.64</v>
          </cell>
          <cell r="M45">
            <v>5.7778757515030055</v>
          </cell>
          <cell r="N45">
            <v>17.821428571428573</v>
          </cell>
        </row>
        <row r="46">
          <cell r="C46" t="str">
            <v>1194</v>
          </cell>
          <cell r="D46" t="str">
            <v>HR-55-AX-1194</v>
          </cell>
          <cell r="E46" t="str">
            <v>XL6</v>
          </cell>
          <cell r="F46">
            <v>31140</v>
          </cell>
          <cell r="G46">
            <v>33209</v>
          </cell>
          <cell r="H46">
            <v>2069</v>
          </cell>
          <cell r="I46">
            <v>184</v>
          </cell>
          <cell r="J46" t="str">
            <v>PETROL</v>
          </cell>
          <cell r="K46">
            <v>102.97</v>
          </cell>
          <cell r="L46">
            <v>18946.48</v>
          </cell>
          <cell r="M46">
            <v>9.157312711454809</v>
          </cell>
          <cell r="N46">
            <v>11.244565217391305</v>
          </cell>
        </row>
        <row r="47">
          <cell r="C47" t="str">
            <v>2373</v>
          </cell>
          <cell r="D47" t="str">
            <v>HR-66-C-2373</v>
          </cell>
          <cell r="E47" t="str">
            <v>CRYSTA</v>
          </cell>
          <cell r="F47">
            <v>69242</v>
          </cell>
          <cell r="G47">
            <v>71720</v>
          </cell>
          <cell r="H47">
            <v>2478</v>
          </cell>
          <cell r="I47">
            <v>187</v>
          </cell>
          <cell r="J47" t="str">
            <v>DIESEL</v>
          </cell>
          <cell r="K47">
            <v>95</v>
          </cell>
          <cell r="L47">
            <v>17765</v>
          </cell>
          <cell r="M47">
            <v>7.1690879741727196</v>
          </cell>
          <cell r="N47">
            <v>13.251336898395722</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Border Tax and Fast Tag"/>
      <sheetName val="Cab Rent"/>
      <sheetName val="Gross Invoice Amt"/>
      <sheetName val="Summery"/>
    </sheetNames>
    <sheetDataSet>
      <sheetData sheetId="0">
        <row r="4">
          <cell r="B4" t="str">
            <v>- MH 12RN 18862</v>
          </cell>
          <cell r="C4">
            <v>0</v>
          </cell>
          <cell r="D4">
            <v>0</v>
          </cell>
        </row>
        <row r="5">
          <cell r="B5" t="str">
            <v>0262</v>
          </cell>
          <cell r="C5">
            <v>0</v>
          </cell>
          <cell r="D5">
            <v>4915</v>
          </cell>
        </row>
        <row r="6">
          <cell r="B6" t="str">
            <v>0975</v>
          </cell>
          <cell r="C6">
            <v>0</v>
          </cell>
          <cell r="D6">
            <v>500</v>
          </cell>
        </row>
        <row r="7">
          <cell r="B7" t="str">
            <v>1204/4699</v>
          </cell>
          <cell r="C7">
            <v>0</v>
          </cell>
          <cell r="D7">
            <v>2460</v>
          </cell>
        </row>
        <row r="8">
          <cell r="B8" t="str">
            <v>1345</v>
          </cell>
          <cell r="C8">
            <v>0</v>
          </cell>
          <cell r="D8">
            <v>1580</v>
          </cell>
        </row>
        <row r="9">
          <cell r="B9" t="str">
            <v>1405</v>
          </cell>
          <cell r="C9">
            <v>0</v>
          </cell>
          <cell r="D9">
            <v>530</v>
          </cell>
        </row>
        <row r="10">
          <cell r="B10" t="str">
            <v>1521</v>
          </cell>
          <cell r="C10">
            <v>0</v>
          </cell>
          <cell r="D10">
            <v>1991</v>
          </cell>
        </row>
        <row r="11">
          <cell r="B11" t="str">
            <v>1674</v>
          </cell>
          <cell r="C11">
            <v>0</v>
          </cell>
          <cell r="D11">
            <v>3730</v>
          </cell>
        </row>
        <row r="12">
          <cell r="B12" t="str">
            <v>1805</v>
          </cell>
          <cell r="C12">
            <v>0</v>
          </cell>
          <cell r="D12">
            <v>2545</v>
          </cell>
        </row>
        <row r="13">
          <cell r="B13" t="str">
            <v>1809</v>
          </cell>
          <cell r="C13">
            <v>0</v>
          </cell>
          <cell r="D13">
            <v>694</v>
          </cell>
        </row>
        <row r="14">
          <cell r="B14" t="str">
            <v>1831</v>
          </cell>
          <cell r="C14">
            <v>0</v>
          </cell>
          <cell r="D14">
            <v>160</v>
          </cell>
        </row>
        <row r="15">
          <cell r="B15" t="str">
            <v>2274</v>
          </cell>
          <cell r="C15">
            <v>0</v>
          </cell>
          <cell r="D15">
            <v>1275</v>
          </cell>
        </row>
        <row r="16">
          <cell r="B16" t="str">
            <v>2393</v>
          </cell>
          <cell r="C16">
            <v>0</v>
          </cell>
          <cell r="D16">
            <v>60</v>
          </cell>
        </row>
        <row r="17">
          <cell r="B17" t="str">
            <v>4699</v>
          </cell>
          <cell r="C17">
            <v>0</v>
          </cell>
          <cell r="D17">
            <v>1550</v>
          </cell>
        </row>
        <row r="18">
          <cell r="B18" t="str">
            <v>4764</v>
          </cell>
          <cell r="C18">
            <v>0</v>
          </cell>
          <cell r="D18">
            <v>640</v>
          </cell>
        </row>
        <row r="19">
          <cell r="B19" t="str">
            <v>4927</v>
          </cell>
          <cell r="C19">
            <v>0</v>
          </cell>
          <cell r="D19">
            <v>505</v>
          </cell>
        </row>
        <row r="20">
          <cell r="B20" t="str">
            <v>5000</v>
          </cell>
          <cell r="C20">
            <v>0</v>
          </cell>
          <cell r="D20">
            <v>1135</v>
          </cell>
        </row>
        <row r="21">
          <cell r="B21" t="str">
            <v>5028</v>
          </cell>
          <cell r="C21">
            <v>0</v>
          </cell>
          <cell r="D21">
            <v>2405</v>
          </cell>
        </row>
        <row r="22">
          <cell r="B22" t="str">
            <v>5500</v>
          </cell>
          <cell r="C22">
            <v>0</v>
          </cell>
          <cell r="D22">
            <v>1000</v>
          </cell>
        </row>
        <row r="23">
          <cell r="B23" t="str">
            <v>5500, 8800</v>
          </cell>
          <cell r="C23">
            <v>0</v>
          </cell>
          <cell r="D23">
            <v>1295</v>
          </cell>
        </row>
        <row r="24">
          <cell r="B24" t="str">
            <v>5641,2333,9303</v>
          </cell>
          <cell r="C24">
            <v>0</v>
          </cell>
          <cell r="D24">
            <v>875</v>
          </cell>
        </row>
        <row r="25">
          <cell r="B25" t="str">
            <v>5673</v>
          </cell>
          <cell r="C25">
            <v>0</v>
          </cell>
          <cell r="D25">
            <v>1764</v>
          </cell>
        </row>
        <row r="26">
          <cell r="B26" t="str">
            <v>5860</v>
          </cell>
          <cell r="C26">
            <v>0</v>
          </cell>
          <cell r="D26">
            <v>7440</v>
          </cell>
        </row>
        <row r="27">
          <cell r="B27" t="str">
            <v>7154</v>
          </cell>
          <cell r="C27">
            <v>0</v>
          </cell>
          <cell r="D27">
            <v>0</v>
          </cell>
        </row>
        <row r="28">
          <cell r="B28" t="str">
            <v>7193</v>
          </cell>
          <cell r="C28">
            <v>0</v>
          </cell>
          <cell r="D28">
            <v>250</v>
          </cell>
        </row>
        <row r="29">
          <cell r="B29" t="str">
            <v>7257</v>
          </cell>
          <cell r="C29">
            <v>0</v>
          </cell>
          <cell r="D29">
            <v>90</v>
          </cell>
        </row>
        <row r="30">
          <cell r="B30" t="str">
            <v>7649</v>
          </cell>
          <cell r="C30">
            <v>0</v>
          </cell>
          <cell r="D30">
            <v>1280</v>
          </cell>
        </row>
        <row r="31">
          <cell r="B31" t="str">
            <v>7666</v>
          </cell>
          <cell r="C31">
            <v>0</v>
          </cell>
          <cell r="D31">
            <v>1785</v>
          </cell>
        </row>
        <row r="32">
          <cell r="B32" t="str">
            <v>7764</v>
          </cell>
          <cell r="C32">
            <v>0</v>
          </cell>
          <cell r="D32">
            <v>1470</v>
          </cell>
        </row>
        <row r="33">
          <cell r="B33" t="str">
            <v>7764/4699/8077</v>
          </cell>
          <cell r="C33">
            <v>0</v>
          </cell>
          <cell r="D33">
            <v>0</v>
          </cell>
        </row>
        <row r="34">
          <cell r="B34" t="str">
            <v>7906</v>
          </cell>
          <cell r="C34">
            <v>0</v>
          </cell>
          <cell r="D34">
            <v>3595</v>
          </cell>
        </row>
        <row r="35">
          <cell r="B35" t="str">
            <v>8048</v>
          </cell>
          <cell r="C35">
            <v>0</v>
          </cell>
          <cell r="D35">
            <v>3417</v>
          </cell>
        </row>
        <row r="36">
          <cell r="B36" t="str">
            <v>8077</v>
          </cell>
          <cell r="C36">
            <v>0</v>
          </cell>
          <cell r="D36">
            <v>600</v>
          </cell>
        </row>
        <row r="37">
          <cell r="B37" t="str">
            <v>8082</v>
          </cell>
          <cell r="C37">
            <v>0</v>
          </cell>
          <cell r="D37">
            <v>300</v>
          </cell>
        </row>
        <row r="38">
          <cell r="B38" t="str">
            <v>8203</v>
          </cell>
          <cell r="C38">
            <v>0</v>
          </cell>
          <cell r="D38">
            <v>2780</v>
          </cell>
        </row>
        <row r="39">
          <cell r="B39" t="str">
            <v>8579</v>
          </cell>
          <cell r="C39">
            <v>0</v>
          </cell>
          <cell r="D39">
            <v>0</v>
          </cell>
        </row>
        <row r="40">
          <cell r="B40" t="str">
            <v>8800</v>
          </cell>
          <cell r="C40">
            <v>0</v>
          </cell>
          <cell r="D40">
            <v>400</v>
          </cell>
        </row>
        <row r="41">
          <cell r="B41" t="str">
            <v>8862</v>
          </cell>
          <cell r="C41">
            <v>0</v>
          </cell>
          <cell r="D41">
            <v>160</v>
          </cell>
        </row>
        <row r="42">
          <cell r="B42" t="str">
            <v>8996</v>
          </cell>
          <cell r="C42">
            <v>0</v>
          </cell>
          <cell r="D42">
            <v>450</v>
          </cell>
        </row>
        <row r="43">
          <cell r="B43" t="str">
            <v>9001</v>
          </cell>
          <cell r="C43">
            <v>0</v>
          </cell>
          <cell r="D43">
            <v>160</v>
          </cell>
        </row>
        <row r="44">
          <cell r="B44" t="str">
            <v>9124</v>
          </cell>
          <cell r="C44">
            <v>0</v>
          </cell>
          <cell r="D44">
            <v>3979</v>
          </cell>
        </row>
        <row r="45">
          <cell r="B45" t="str">
            <v>9425</v>
          </cell>
          <cell r="C45">
            <v>1786</v>
          </cell>
          <cell r="D45">
            <v>2015</v>
          </cell>
        </row>
        <row r="46">
          <cell r="B46" t="str">
            <v>9556</v>
          </cell>
          <cell r="C46">
            <v>3385</v>
          </cell>
          <cell r="D46">
            <v>0</v>
          </cell>
        </row>
        <row r="47">
          <cell r="B47" t="str">
            <v>9970</v>
          </cell>
          <cell r="C47">
            <v>0</v>
          </cell>
          <cell r="D47">
            <v>9248</v>
          </cell>
        </row>
        <row r="48">
          <cell r="B48" t="str">
            <v>DL 1ZB 2702</v>
          </cell>
          <cell r="C48">
            <v>0</v>
          </cell>
          <cell r="D48">
            <v>0</v>
          </cell>
        </row>
        <row r="49">
          <cell r="B49" t="str">
            <v>DL1VC 7164</v>
          </cell>
          <cell r="C49">
            <v>0</v>
          </cell>
          <cell r="D49">
            <v>5630</v>
          </cell>
        </row>
        <row r="50">
          <cell r="B50" t="str">
            <v>GJ 05 CY 7890</v>
          </cell>
          <cell r="C50">
            <v>0</v>
          </cell>
          <cell r="D50">
            <v>3175</v>
          </cell>
        </row>
        <row r="51">
          <cell r="B51" t="str">
            <v>GJ 05 CY 9060</v>
          </cell>
          <cell r="C51">
            <v>0</v>
          </cell>
          <cell r="D51">
            <v>1985</v>
          </cell>
        </row>
        <row r="52">
          <cell r="B52" t="str">
            <v>GJ 05 DU 1440</v>
          </cell>
          <cell r="C52">
            <v>0</v>
          </cell>
          <cell r="D52">
            <v>1805</v>
          </cell>
        </row>
        <row r="53">
          <cell r="B53" t="str">
            <v>GJ 06 BV 6747</v>
          </cell>
          <cell r="C53">
            <v>0</v>
          </cell>
          <cell r="D53">
            <v>2640</v>
          </cell>
        </row>
        <row r="54">
          <cell r="B54" t="str">
            <v>GJ 06 BX 4906</v>
          </cell>
          <cell r="C54">
            <v>0</v>
          </cell>
          <cell r="D54">
            <v>3315</v>
          </cell>
        </row>
        <row r="55">
          <cell r="B55" t="str">
            <v>GJ 06 BX 9846</v>
          </cell>
          <cell r="C55">
            <v>0</v>
          </cell>
          <cell r="D55">
            <v>3845</v>
          </cell>
        </row>
        <row r="56">
          <cell r="B56" t="str">
            <v>GJ 06 BY 0107</v>
          </cell>
          <cell r="C56">
            <v>0</v>
          </cell>
          <cell r="D56">
            <v>0</v>
          </cell>
        </row>
        <row r="57">
          <cell r="B57" t="str">
            <v>GJ 07 TU 8375</v>
          </cell>
          <cell r="C57">
            <v>0</v>
          </cell>
          <cell r="D57">
            <v>180</v>
          </cell>
        </row>
        <row r="58">
          <cell r="B58" t="str">
            <v>GJ 09AU 9128</v>
          </cell>
          <cell r="C58">
            <v>0</v>
          </cell>
          <cell r="D58">
            <v>0</v>
          </cell>
        </row>
        <row r="59">
          <cell r="B59" t="str">
            <v>GJ 15 AT 8880</v>
          </cell>
          <cell r="C59">
            <v>0</v>
          </cell>
          <cell r="D59">
            <v>3285</v>
          </cell>
        </row>
        <row r="60">
          <cell r="B60" t="str">
            <v>GJ 15 AX 4321</v>
          </cell>
          <cell r="C60">
            <v>0</v>
          </cell>
          <cell r="D60">
            <v>1755</v>
          </cell>
        </row>
        <row r="61">
          <cell r="B61" t="str">
            <v>GJ 15 AX 8002</v>
          </cell>
          <cell r="C61">
            <v>0</v>
          </cell>
          <cell r="D61">
            <v>1055</v>
          </cell>
        </row>
        <row r="62">
          <cell r="B62" t="str">
            <v>GJ 15 AY 1450</v>
          </cell>
          <cell r="C62">
            <v>0</v>
          </cell>
          <cell r="D62">
            <v>350</v>
          </cell>
        </row>
        <row r="63">
          <cell r="B63" t="str">
            <v>GJ 21 Y 4619</v>
          </cell>
          <cell r="C63">
            <v>0</v>
          </cell>
          <cell r="D63">
            <v>0</v>
          </cell>
        </row>
        <row r="64">
          <cell r="B64" t="str">
            <v>GJ 21 Y 8967</v>
          </cell>
          <cell r="C64">
            <v>0</v>
          </cell>
          <cell r="D64">
            <v>245</v>
          </cell>
        </row>
        <row r="65">
          <cell r="B65" t="str">
            <v>GJ 21 Z 8967</v>
          </cell>
          <cell r="C65">
            <v>0</v>
          </cell>
          <cell r="D65">
            <v>230</v>
          </cell>
        </row>
        <row r="66">
          <cell r="B66" t="str">
            <v>GJ 23AY 0231</v>
          </cell>
          <cell r="C66">
            <v>0</v>
          </cell>
          <cell r="D66">
            <v>2075</v>
          </cell>
        </row>
        <row r="67">
          <cell r="B67" t="str">
            <v>GJ 24 X 5423</v>
          </cell>
          <cell r="C67">
            <v>0</v>
          </cell>
          <cell r="D67">
            <v>845</v>
          </cell>
        </row>
        <row r="68">
          <cell r="B68" t="str">
            <v>GJ-01K-7552</v>
          </cell>
          <cell r="C68">
            <v>0</v>
          </cell>
          <cell r="D68">
            <v>0</v>
          </cell>
        </row>
        <row r="69">
          <cell r="B69" t="str">
            <v>GJ15AX1710</v>
          </cell>
          <cell r="C69">
            <v>0</v>
          </cell>
          <cell r="D69">
            <v>0</v>
          </cell>
        </row>
        <row r="70">
          <cell r="B70" t="str">
            <v>GJ16AY9648</v>
          </cell>
          <cell r="C70">
            <v>0</v>
          </cell>
          <cell r="D70">
            <v>155</v>
          </cell>
        </row>
        <row r="71">
          <cell r="B71" t="str">
            <v>HR 26 FZ 8882</v>
          </cell>
          <cell r="C71">
            <v>0</v>
          </cell>
          <cell r="D71">
            <v>1050</v>
          </cell>
        </row>
        <row r="72">
          <cell r="B72" t="str">
            <v>HR 38 J 6087</v>
          </cell>
          <cell r="C72">
            <v>0</v>
          </cell>
          <cell r="D72">
            <v>7905</v>
          </cell>
        </row>
        <row r="73">
          <cell r="B73" t="str">
            <v>HR 47 F 4745</v>
          </cell>
          <cell r="C73">
            <v>0</v>
          </cell>
          <cell r="D73">
            <v>8630</v>
          </cell>
        </row>
        <row r="74">
          <cell r="B74" t="str">
            <v>HR 47 G 2495</v>
          </cell>
          <cell r="C74">
            <v>0</v>
          </cell>
          <cell r="D74">
            <v>9620</v>
          </cell>
        </row>
        <row r="75">
          <cell r="B75" t="str">
            <v>HR-55AL-1846</v>
          </cell>
          <cell r="C75">
            <v>9690</v>
          </cell>
          <cell r="D75">
            <v>19375</v>
          </cell>
        </row>
        <row r="76">
          <cell r="B76" t="str">
            <v>HR 55 AQ 5945</v>
          </cell>
          <cell r="C76">
            <v>0</v>
          </cell>
          <cell r="D76">
            <v>4020</v>
          </cell>
        </row>
        <row r="77">
          <cell r="B77" t="str">
            <v>HR 55 AW 0975</v>
          </cell>
          <cell r="C77">
            <v>0</v>
          </cell>
          <cell r="D77">
            <v>2060</v>
          </cell>
        </row>
        <row r="78">
          <cell r="B78" t="str">
            <v>HR 55 AW 0975/7649</v>
          </cell>
          <cell r="C78">
            <v>0</v>
          </cell>
          <cell r="D78">
            <v>3850</v>
          </cell>
        </row>
        <row r="79">
          <cell r="B79" t="str">
            <v>HR 55 AX 1428</v>
          </cell>
          <cell r="C79">
            <v>0</v>
          </cell>
          <cell r="D79">
            <v>4175</v>
          </cell>
        </row>
        <row r="80">
          <cell r="B80" t="str">
            <v>HR 55 AX 4866</v>
          </cell>
          <cell r="C80">
            <v>490</v>
          </cell>
          <cell r="D80">
            <v>5430</v>
          </cell>
        </row>
        <row r="81">
          <cell r="B81" t="str">
            <v>HR 55 AY 4052</v>
          </cell>
          <cell r="C81">
            <v>0</v>
          </cell>
          <cell r="D81">
            <v>1280</v>
          </cell>
        </row>
        <row r="82">
          <cell r="B82" t="str">
            <v>HR 55 BA 3898</v>
          </cell>
          <cell r="C82">
            <v>0</v>
          </cell>
          <cell r="D82">
            <v>4820</v>
          </cell>
        </row>
        <row r="83">
          <cell r="B83" t="str">
            <v>HR 55 BB 4206</v>
          </cell>
          <cell r="C83">
            <v>671</v>
          </cell>
          <cell r="D83">
            <v>12911</v>
          </cell>
        </row>
        <row r="84">
          <cell r="B84" t="str">
            <v>HR 55 BB 7853</v>
          </cell>
          <cell r="C84">
            <v>0</v>
          </cell>
          <cell r="D84">
            <v>180</v>
          </cell>
        </row>
        <row r="85">
          <cell r="B85" t="str">
            <v>HR 55 BB00262</v>
          </cell>
          <cell r="C85">
            <v>0</v>
          </cell>
          <cell r="D85">
            <v>2530</v>
          </cell>
        </row>
        <row r="86">
          <cell r="B86" t="str">
            <v>HR 55 BD 8299</v>
          </cell>
          <cell r="C86">
            <v>360</v>
          </cell>
          <cell r="D86">
            <v>3580</v>
          </cell>
        </row>
        <row r="87">
          <cell r="B87" t="str">
            <v>HR 55AG 1451</v>
          </cell>
          <cell r="C87">
            <v>1530</v>
          </cell>
          <cell r="D87">
            <v>3235</v>
          </cell>
        </row>
        <row r="88">
          <cell r="B88" t="str">
            <v>HR 55AG 3526</v>
          </cell>
          <cell r="C88">
            <v>0</v>
          </cell>
          <cell r="D88">
            <v>2520</v>
          </cell>
        </row>
        <row r="89">
          <cell r="B89" t="str">
            <v>HR 55AG 5093</v>
          </cell>
          <cell r="C89">
            <v>448</v>
          </cell>
          <cell r="D89">
            <v>8135</v>
          </cell>
        </row>
        <row r="90">
          <cell r="B90" t="str">
            <v>HR 55AH 8939</v>
          </cell>
          <cell r="C90">
            <v>0</v>
          </cell>
          <cell r="D90">
            <v>2389</v>
          </cell>
        </row>
        <row r="91">
          <cell r="B91" t="str">
            <v>HR 55AH1982</v>
          </cell>
          <cell r="C91">
            <v>0</v>
          </cell>
          <cell r="D91">
            <v>11122</v>
          </cell>
        </row>
        <row r="92">
          <cell r="B92" t="str">
            <v>HR 55AX 1194</v>
          </cell>
          <cell r="C92">
            <v>0</v>
          </cell>
          <cell r="D92">
            <v>4305</v>
          </cell>
        </row>
        <row r="93">
          <cell r="B93" t="str">
            <v>HR 55BC 1637</v>
          </cell>
          <cell r="C93">
            <v>6917</v>
          </cell>
          <cell r="D93">
            <v>7055</v>
          </cell>
        </row>
        <row r="94">
          <cell r="B94" t="str">
            <v>HR 66 C 0944</v>
          </cell>
          <cell r="C94">
            <v>2016</v>
          </cell>
          <cell r="D94">
            <v>8310</v>
          </cell>
        </row>
        <row r="95">
          <cell r="B95" t="str">
            <v>HR 66 C 2373</v>
          </cell>
          <cell r="C95">
            <v>0</v>
          </cell>
          <cell r="D95">
            <v>10040</v>
          </cell>
        </row>
        <row r="96">
          <cell r="B96" t="str">
            <v>HR 66C 0292</v>
          </cell>
          <cell r="C96">
            <v>0</v>
          </cell>
          <cell r="D96">
            <v>1975</v>
          </cell>
        </row>
        <row r="97">
          <cell r="B97" t="str">
            <v>HR 66C 2987</v>
          </cell>
          <cell r="C97">
            <v>1791</v>
          </cell>
          <cell r="D97">
            <v>3295</v>
          </cell>
        </row>
        <row r="98">
          <cell r="B98" t="str">
            <v>HR 66D 1538</v>
          </cell>
          <cell r="C98">
            <v>672</v>
          </cell>
          <cell r="D98">
            <v>5810</v>
          </cell>
        </row>
        <row r="99">
          <cell r="B99" t="str">
            <v>HR 67 E 3075</v>
          </cell>
          <cell r="C99">
            <v>0</v>
          </cell>
          <cell r="D99">
            <v>2320</v>
          </cell>
        </row>
        <row r="100">
          <cell r="B100" t="str">
            <v>HR26 EW 5895</v>
          </cell>
          <cell r="C100">
            <v>0</v>
          </cell>
          <cell r="D100">
            <v>930</v>
          </cell>
        </row>
        <row r="101">
          <cell r="B101" t="str">
            <v>HR-26FB-7616</v>
          </cell>
          <cell r="C101">
            <v>0</v>
          </cell>
          <cell r="D101">
            <v>985</v>
          </cell>
        </row>
        <row r="102">
          <cell r="B102" t="str">
            <v>HR47E 9469</v>
          </cell>
          <cell r="C102">
            <v>6917</v>
          </cell>
          <cell r="D102">
            <v>8515</v>
          </cell>
        </row>
        <row r="103">
          <cell r="B103" t="str">
            <v>HR-47F-1040</v>
          </cell>
          <cell r="C103">
            <v>1530</v>
          </cell>
          <cell r="D103">
            <v>5440</v>
          </cell>
        </row>
        <row r="104">
          <cell r="B104" t="str">
            <v>HR-47F-5680</v>
          </cell>
          <cell r="C104">
            <v>0</v>
          </cell>
          <cell r="D104">
            <v>6250</v>
          </cell>
        </row>
        <row r="105">
          <cell r="B105" t="str">
            <v>HR55 -AU-3333</v>
          </cell>
          <cell r="C105">
            <v>0</v>
          </cell>
          <cell r="D105">
            <v>520</v>
          </cell>
        </row>
        <row r="106">
          <cell r="B106" t="str">
            <v>HR-55AB-0471</v>
          </cell>
          <cell r="C106">
            <v>4241</v>
          </cell>
          <cell r="D106">
            <v>8630</v>
          </cell>
        </row>
        <row r="107">
          <cell r="B107" t="str">
            <v>HR-55AC-8668</v>
          </cell>
          <cell r="C107">
            <v>0</v>
          </cell>
          <cell r="D107">
            <v>11784</v>
          </cell>
        </row>
        <row r="108">
          <cell r="B108" t="str">
            <v>HR-55AF-5134</v>
          </cell>
          <cell r="C108">
            <v>4480</v>
          </cell>
          <cell r="D108">
            <v>6960</v>
          </cell>
        </row>
        <row r="109">
          <cell r="B109" t="str">
            <v>HR-55AG-4440</v>
          </cell>
          <cell r="C109">
            <v>4241</v>
          </cell>
          <cell r="D109">
            <v>11002</v>
          </cell>
        </row>
        <row r="110">
          <cell r="B110" t="str">
            <v>HR-55AH-3603</v>
          </cell>
          <cell r="C110">
            <v>0</v>
          </cell>
          <cell r="D110">
            <v>5817</v>
          </cell>
        </row>
        <row r="111">
          <cell r="B111" t="str">
            <v>HR-55AK-5787</v>
          </cell>
          <cell r="C111">
            <v>360</v>
          </cell>
          <cell r="D111">
            <v>6370</v>
          </cell>
        </row>
        <row r="112">
          <cell r="B112" t="str">
            <v>HR-55-AL-5921</v>
          </cell>
          <cell r="C112">
            <v>6917</v>
          </cell>
          <cell r="D112">
            <v>4440</v>
          </cell>
        </row>
        <row r="113">
          <cell r="B113" t="str">
            <v>HR55AL8495</v>
          </cell>
          <cell r="C113">
            <v>7905</v>
          </cell>
          <cell r="D113">
            <v>0</v>
          </cell>
        </row>
        <row r="114">
          <cell r="B114" t="str">
            <v>HR-55AM-6605</v>
          </cell>
          <cell r="C114">
            <v>0</v>
          </cell>
          <cell r="D114">
            <v>600</v>
          </cell>
        </row>
        <row r="115">
          <cell r="B115" t="str">
            <v>HR-55AR-1096</v>
          </cell>
          <cell r="C115">
            <v>170</v>
          </cell>
          <cell r="D115">
            <v>6210</v>
          </cell>
        </row>
        <row r="116">
          <cell r="B116" t="str">
            <v>HR-55AU-4444</v>
          </cell>
          <cell r="C116">
            <v>0</v>
          </cell>
          <cell r="D116">
            <v>590</v>
          </cell>
        </row>
        <row r="117">
          <cell r="B117" t="str">
            <v>HR-55AW-0975</v>
          </cell>
          <cell r="C117">
            <v>0</v>
          </cell>
          <cell r="D117">
            <v>0</v>
          </cell>
        </row>
        <row r="118">
          <cell r="B118" t="str">
            <v>HR55AZ 3560</v>
          </cell>
          <cell r="C118">
            <v>0</v>
          </cell>
          <cell r="D118">
            <v>670</v>
          </cell>
        </row>
        <row r="119">
          <cell r="B119" t="str">
            <v>HR55AZ3356</v>
          </cell>
          <cell r="C119">
            <v>0</v>
          </cell>
          <cell r="D119">
            <v>6950</v>
          </cell>
        </row>
        <row r="120">
          <cell r="B120" t="str">
            <v>HR55BB1967</v>
          </cell>
          <cell r="C120">
            <v>0</v>
          </cell>
          <cell r="D120">
            <v>0</v>
          </cell>
        </row>
        <row r="121">
          <cell r="B121" t="str">
            <v>HR-55BB-7853</v>
          </cell>
          <cell r="C121">
            <v>0</v>
          </cell>
          <cell r="D121">
            <v>680</v>
          </cell>
        </row>
        <row r="122">
          <cell r="B122" t="str">
            <v>HR55BD8968</v>
          </cell>
          <cell r="C122">
            <v>0</v>
          </cell>
          <cell r="D122">
            <v>0</v>
          </cell>
        </row>
        <row r="123">
          <cell r="B123" t="str">
            <v>HR-66B-4572</v>
          </cell>
          <cell r="C123">
            <v>0</v>
          </cell>
          <cell r="D123">
            <v>11370</v>
          </cell>
        </row>
        <row r="124">
          <cell r="B124" t="str">
            <v>HR 66 C 2856</v>
          </cell>
          <cell r="C124">
            <v>10265</v>
          </cell>
          <cell r="D124">
            <v>2625</v>
          </cell>
        </row>
        <row r="125">
          <cell r="B125" t="str">
            <v>HR-66C-8938</v>
          </cell>
          <cell r="C125">
            <v>0</v>
          </cell>
          <cell r="D125">
            <v>6095</v>
          </cell>
        </row>
        <row r="126">
          <cell r="B126" t="str">
            <v>MH 12  VF 7353</v>
          </cell>
          <cell r="C126">
            <v>0</v>
          </cell>
          <cell r="D126">
            <v>190</v>
          </cell>
        </row>
        <row r="127">
          <cell r="B127" t="str">
            <v>MH 12 RN 4825</v>
          </cell>
          <cell r="C127">
            <v>0</v>
          </cell>
          <cell r="D127">
            <v>300</v>
          </cell>
        </row>
        <row r="128">
          <cell r="B128" t="str">
            <v>MH 12 RN 6263</v>
          </cell>
          <cell r="C128">
            <v>0</v>
          </cell>
          <cell r="D128">
            <v>160</v>
          </cell>
        </row>
        <row r="129">
          <cell r="B129" t="str">
            <v>MH 12 SF 4142</v>
          </cell>
          <cell r="C129">
            <v>0</v>
          </cell>
          <cell r="D129">
            <v>0</v>
          </cell>
        </row>
        <row r="130">
          <cell r="B130" t="str">
            <v>MH 12 UF 7353</v>
          </cell>
          <cell r="C130">
            <v>0</v>
          </cell>
          <cell r="D130">
            <v>130</v>
          </cell>
        </row>
        <row r="131">
          <cell r="B131" t="str">
            <v>MH 12 UM 2334</v>
          </cell>
          <cell r="C131">
            <v>0</v>
          </cell>
          <cell r="D131">
            <v>300</v>
          </cell>
        </row>
        <row r="132">
          <cell r="B132" t="str">
            <v>MH 12 VT 4764</v>
          </cell>
          <cell r="C132">
            <v>0</v>
          </cell>
          <cell r="D132">
            <v>600</v>
          </cell>
        </row>
        <row r="133">
          <cell r="B133" t="str">
            <v>MH 12 WJ 4764</v>
          </cell>
          <cell r="C133">
            <v>0</v>
          </cell>
          <cell r="D133">
            <v>0</v>
          </cell>
        </row>
        <row r="134">
          <cell r="B134" t="str">
            <v>MH 12RN 1809</v>
          </cell>
          <cell r="C134">
            <v>0</v>
          </cell>
          <cell r="D134">
            <v>300</v>
          </cell>
        </row>
        <row r="135">
          <cell r="B135" t="str">
            <v>MH 14 MH 6263</v>
          </cell>
          <cell r="C135">
            <v>0</v>
          </cell>
          <cell r="D135">
            <v>130</v>
          </cell>
        </row>
        <row r="136">
          <cell r="B136" t="str">
            <v>MH 14 MT 2962</v>
          </cell>
          <cell r="C136">
            <v>0</v>
          </cell>
          <cell r="D136">
            <v>160</v>
          </cell>
        </row>
        <row r="137">
          <cell r="B137" t="str">
            <v>MH 14 MT 8082</v>
          </cell>
          <cell r="C137">
            <v>0</v>
          </cell>
          <cell r="D137">
            <v>675</v>
          </cell>
        </row>
        <row r="138">
          <cell r="B138" t="str">
            <v>MH.12.RN.6263</v>
          </cell>
          <cell r="C138">
            <v>0</v>
          </cell>
          <cell r="D138">
            <v>460</v>
          </cell>
        </row>
        <row r="139">
          <cell r="B139" t="str">
            <v>MH.14.NE.6263</v>
          </cell>
          <cell r="C139">
            <v>0</v>
          </cell>
          <cell r="D139">
            <v>0</v>
          </cell>
        </row>
        <row r="140">
          <cell r="B140" t="str">
            <v>MH-12RN-4825</v>
          </cell>
          <cell r="C140">
            <v>0</v>
          </cell>
          <cell r="D140">
            <v>300</v>
          </cell>
        </row>
        <row r="141">
          <cell r="B141" t="str">
            <v>MH-12RN-6263</v>
          </cell>
          <cell r="C141">
            <v>0</v>
          </cell>
          <cell r="D141">
            <v>850</v>
          </cell>
        </row>
        <row r="142">
          <cell r="B142" t="str">
            <v>MH12VT 4764</v>
          </cell>
          <cell r="C142">
            <v>0</v>
          </cell>
          <cell r="D142">
            <v>300</v>
          </cell>
        </row>
        <row r="143">
          <cell r="B143" t="str">
            <v>MH-12VT-6263</v>
          </cell>
          <cell r="C143">
            <v>0</v>
          </cell>
          <cell r="D143">
            <v>130</v>
          </cell>
        </row>
        <row r="144">
          <cell r="B144" t="str">
            <v>MH-12XM-6566</v>
          </cell>
          <cell r="C144">
            <v>0</v>
          </cell>
          <cell r="D144">
            <v>960</v>
          </cell>
        </row>
        <row r="145">
          <cell r="B145" t="str">
            <v>MH12XM8862</v>
          </cell>
          <cell r="C145">
            <v>0</v>
          </cell>
          <cell r="D145">
            <v>0</v>
          </cell>
        </row>
        <row r="146">
          <cell r="B146" t="str">
            <v>MH-12XM-8862</v>
          </cell>
          <cell r="C146">
            <v>0</v>
          </cell>
          <cell r="D146">
            <v>243</v>
          </cell>
        </row>
        <row r="147">
          <cell r="B147" t="str">
            <v>MH14MT2962</v>
          </cell>
          <cell r="C147">
            <v>0</v>
          </cell>
          <cell r="D147">
            <v>130</v>
          </cell>
        </row>
        <row r="148">
          <cell r="B148" t="str">
            <v>MP 09 AM 2809</v>
          </cell>
          <cell r="C148">
            <v>0</v>
          </cell>
          <cell r="D148">
            <v>20</v>
          </cell>
        </row>
        <row r="149">
          <cell r="B149" t="str">
            <v>PY 01 DC 8283</v>
          </cell>
          <cell r="C149">
            <v>0</v>
          </cell>
          <cell r="D149">
            <v>495</v>
          </cell>
        </row>
        <row r="150">
          <cell r="B150" t="str">
            <v>TG 16 T 1273</v>
          </cell>
          <cell r="C150">
            <v>0</v>
          </cell>
          <cell r="D150">
            <v>475</v>
          </cell>
        </row>
        <row r="151">
          <cell r="B151" t="str">
            <v>TN 01 BH 4133</v>
          </cell>
          <cell r="C151">
            <v>0</v>
          </cell>
          <cell r="D151">
            <v>950</v>
          </cell>
        </row>
        <row r="152">
          <cell r="B152" t="str">
            <v>TN 47 AM 0583</v>
          </cell>
          <cell r="C152">
            <v>0</v>
          </cell>
          <cell r="D152">
            <v>60</v>
          </cell>
        </row>
        <row r="153">
          <cell r="B153" t="str">
            <v>TN 79 M0570</v>
          </cell>
          <cell r="C153">
            <v>0</v>
          </cell>
          <cell r="D153">
            <v>130</v>
          </cell>
        </row>
        <row r="154">
          <cell r="B154" t="str">
            <v>TN-02CF-5689</v>
          </cell>
          <cell r="C154">
            <v>0</v>
          </cell>
          <cell r="D154">
            <v>0</v>
          </cell>
        </row>
        <row r="155">
          <cell r="B155" t="str">
            <v>TN-22ED-4424</v>
          </cell>
          <cell r="C155">
            <v>0</v>
          </cell>
          <cell r="D155">
            <v>0</v>
          </cell>
        </row>
        <row r="156">
          <cell r="B156" t="str">
            <v>TS 08 UE 8665</v>
          </cell>
          <cell r="C156">
            <v>0</v>
          </cell>
          <cell r="D156">
            <v>1350</v>
          </cell>
        </row>
        <row r="157">
          <cell r="B157" t="str">
            <v>UK 03 TA 2522</v>
          </cell>
          <cell r="C157">
            <v>0</v>
          </cell>
          <cell r="D157">
            <v>4355</v>
          </cell>
        </row>
      </sheetData>
      <sheetData sheetId="1">
        <row r="3">
          <cell r="B3" t="str">
            <v>- MH 12RN 18862</v>
          </cell>
          <cell r="C3">
            <v>0</v>
          </cell>
        </row>
        <row r="4">
          <cell r="B4" t="str">
            <v>0262</v>
          </cell>
          <cell r="C4">
            <v>76869</v>
          </cell>
        </row>
        <row r="5">
          <cell r="B5" t="str">
            <v>0975</v>
          </cell>
          <cell r="C5">
            <v>3150</v>
          </cell>
        </row>
        <row r="6">
          <cell r="B6" t="str">
            <v>1204/4699</v>
          </cell>
          <cell r="C6">
            <v>26851</v>
          </cell>
        </row>
        <row r="7">
          <cell r="B7" t="str">
            <v>1345</v>
          </cell>
          <cell r="C7">
            <v>97490</v>
          </cell>
        </row>
        <row r="8">
          <cell r="B8" t="str">
            <v>1405</v>
          </cell>
          <cell r="C8">
            <v>0</v>
          </cell>
        </row>
        <row r="9">
          <cell r="B9" t="str">
            <v>1521</v>
          </cell>
          <cell r="C9">
            <v>24407</v>
          </cell>
        </row>
        <row r="10">
          <cell r="B10" t="str">
            <v>1674</v>
          </cell>
          <cell r="C10">
            <v>79062</v>
          </cell>
        </row>
        <row r="11">
          <cell r="B11" t="str">
            <v>1805</v>
          </cell>
          <cell r="C11">
            <v>76070</v>
          </cell>
        </row>
        <row r="12">
          <cell r="B12" t="str">
            <v>1809</v>
          </cell>
          <cell r="C12">
            <v>0</v>
          </cell>
        </row>
        <row r="13">
          <cell r="B13" t="str">
            <v>1831</v>
          </cell>
          <cell r="C13">
            <v>0</v>
          </cell>
        </row>
        <row r="14">
          <cell r="B14" t="str">
            <v>2274</v>
          </cell>
          <cell r="C14">
            <v>70870</v>
          </cell>
        </row>
        <row r="15">
          <cell r="B15" t="str">
            <v>2393</v>
          </cell>
          <cell r="C15">
            <v>10251</v>
          </cell>
        </row>
        <row r="16">
          <cell r="B16" t="str">
            <v>4699</v>
          </cell>
          <cell r="C16">
            <v>21283</v>
          </cell>
        </row>
        <row r="17">
          <cell r="B17" t="str">
            <v>4764</v>
          </cell>
          <cell r="C17">
            <v>0</v>
          </cell>
        </row>
        <row r="18">
          <cell r="B18" t="str">
            <v>4927</v>
          </cell>
          <cell r="C18">
            <v>0</v>
          </cell>
        </row>
        <row r="19">
          <cell r="B19" t="str">
            <v>5000</v>
          </cell>
          <cell r="C19">
            <v>16931</v>
          </cell>
        </row>
        <row r="20">
          <cell r="B20" t="str">
            <v>5028</v>
          </cell>
          <cell r="C20">
            <v>40570</v>
          </cell>
        </row>
        <row r="21">
          <cell r="B21" t="str">
            <v>5500</v>
          </cell>
          <cell r="C21">
            <v>4850</v>
          </cell>
        </row>
        <row r="22">
          <cell r="B22" t="str">
            <v>5500, 8800</v>
          </cell>
          <cell r="C22">
            <v>17645</v>
          </cell>
        </row>
        <row r="23">
          <cell r="B23" t="str">
            <v>5641,2333,9303</v>
          </cell>
          <cell r="C23">
            <v>80687</v>
          </cell>
        </row>
        <row r="24">
          <cell r="B24" t="str">
            <v>5673</v>
          </cell>
          <cell r="C24">
            <v>40663.67</v>
          </cell>
        </row>
        <row r="25">
          <cell r="B25" t="str">
            <v>5860</v>
          </cell>
          <cell r="C25">
            <v>128821</v>
          </cell>
        </row>
        <row r="26">
          <cell r="B26" t="str">
            <v>7154</v>
          </cell>
          <cell r="C26">
            <v>5350</v>
          </cell>
        </row>
        <row r="27">
          <cell r="B27" t="str">
            <v>7193</v>
          </cell>
          <cell r="C27">
            <v>2492</v>
          </cell>
        </row>
        <row r="28">
          <cell r="B28" t="str">
            <v>7257</v>
          </cell>
        </row>
        <row r="29">
          <cell r="B29" t="str">
            <v>7649</v>
          </cell>
          <cell r="C29">
            <v>36883</v>
          </cell>
        </row>
        <row r="30">
          <cell r="B30" t="str">
            <v>7666</v>
          </cell>
          <cell r="C30">
            <v>78070</v>
          </cell>
        </row>
        <row r="31">
          <cell r="B31" t="str">
            <v>7764</v>
          </cell>
          <cell r="C31">
            <v>32905</v>
          </cell>
        </row>
        <row r="32">
          <cell r="B32" t="str">
            <v>7764/4699/8077</v>
          </cell>
          <cell r="C32">
            <v>12410</v>
          </cell>
        </row>
        <row r="33">
          <cell r="B33" t="str">
            <v>7906</v>
          </cell>
          <cell r="C33">
            <v>34929</v>
          </cell>
        </row>
        <row r="34">
          <cell r="B34" t="str">
            <v>8048</v>
          </cell>
          <cell r="C34">
            <v>33477.839999999997</v>
          </cell>
        </row>
        <row r="35">
          <cell r="B35" t="str">
            <v>8077</v>
          </cell>
          <cell r="C35">
            <v>3050</v>
          </cell>
        </row>
        <row r="36">
          <cell r="B36" t="str">
            <v>8082</v>
          </cell>
          <cell r="C36">
            <v>0</v>
          </cell>
        </row>
        <row r="37">
          <cell r="B37" t="str">
            <v>8203</v>
          </cell>
          <cell r="C37">
            <v>0</v>
          </cell>
        </row>
        <row r="38">
          <cell r="B38" t="str">
            <v>8579</v>
          </cell>
          <cell r="C38">
            <v>3098</v>
          </cell>
        </row>
        <row r="39">
          <cell r="B39" t="str">
            <v>8800</v>
          </cell>
          <cell r="C39">
            <v>4250</v>
          </cell>
        </row>
        <row r="40">
          <cell r="B40" t="str">
            <v>8862</v>
          </cell>
          <cell r="C40">
            <v>325894</v>
          </cell>
        </row>
        <row r="41">
          <cell r="B41" t="str">
            <v>8996</v>
          </cell>
          <cell r="C41">
            <v>7638</v>
          </cell>
        </row>
        <row r="42">
          <cell r="B42" t="str">
            <v>9001</v>
          </cell>
          <cell r="C42">
            <v>0</v>
          </cell>
        </row>
        <row r="43">
          <cell r="B43" t="str">
            <v>9124</v>
          </cell>
          <cell r="C43">
            <v>70206</v>
          </cell>
        </row>
        <row r="44">
          <cell r="B44" t="str">
            <v>9425</v>
          </cell>
          <cell r="C44">
            <v>0</v>
          </cell>
        </row>
        <row r="45">
          <cell r="B45" t="str">
            <v>9556</v>
          </cell>
          <cell r="C45">
            <v>13700</v>
          </cell>
        </row>
        <row r="46">
          <cell r="B46" t="str">
            <v>9970</v>
          </cell>
          <cell r="C46">
            <v>100350</v>
          </cell>
        </row>
        <row r="47">
          <cell r="B47" t="str">
            <v>DL 1ZB 2702</v>
          </cell>
          <cell r="C47">
            <v>0</v>
          </cell>
        </row>
        <row r="48">
          <cell r="B48" t="str">
            <v>DL1VC 7164</v>
          </cell>
          <cell r="C48">
            <v>0</v>
          </cell>
        </row>
        <row r="49">
          <cell r="B49" t="str">
            <v>GJ 05 CY 7890</v>
          </cell>
          <cell r="C49">
            <v>79775</v>
          </cell>
        </row>
        <row r="50">
          <cell r="B50" t="str">
            <v>GJ 05 CY 9060</v>
          </cell>
          <cell r="C50">
            <v>83490</v>
          </cell>
        </row>
        <row r="51">
          <cell r="B51" t="str">
            <v>GJ 05 DU 1440</v>
          </cell>
          <cell r="C51">
            <v>43870</v>
          </cell>
        </row>
        <row r="52">
          <cell r="B52" t="str">
            <v>GJ 06 BV 6747</v>
          </cell>
          <cell r="C52">
            <v>0</v>
          </cell>
        </row>
        <row r="53">
          <cell r="B53" t="str">
            <v>GJ 06 BX 4906</v>
          </cell>
          <cell r="C53">
            <v>63633</v>
          </cell>
        </row>
        <row r="54">
          <cell r="B54" t="str">
            <v>GJ 06 BX 9846</v>
          </cell>
          <cell r="C54">
            <v>65883</v>
          </cell>
        </row>
        <row r="55">
          <cell r="B55" t="str">
            <v>GJ 06 BY 0107</v>
          </cell>
          <cell r="C55">
            <v>59308</v>
          </cell>
        </row>
        <row r="56">
          <cell r="B56" t="str">
            <v>GJ 07 TU 8375</v>
          </cell>
          <cell r="C56">
            <v>95612</v>
          </cell>
        </row>
        <row r="57">
          <cell r="B57" t="str">
            <v>GJ 09AU 9128</v>
          </cell>
          <cell r="C57">
            <v>74800</v>
          </cell>
        </row>
        <row r="58">
          <cell r="B58" t="str">
            <v>GJ 15 AT 8880</v>
          </cell>
          <cell r="C58">
            <v>150239</v>
          </cell>
        </row>
        <row r="59">
          <cell r="B59" t="str">
            <v>GJ 15 AX 4321</v>
          </cell>
          <cell r="C59">
            <v>0</v>
          </cell>
        </row>
        <row r="60">
          <cell r="B60" t="str">
            <v>GJ 15 AX 8002</v>
          </cell>
          <cell r="C60">
            <v>0</v>
          </cell>
        </row>
        <row r="61">
          <cell r="B61" t="str">
            <v>GJ 15 AY 1450</v>
          </cell>
          <cell r="C61">
            <v>347180</v>
          </cell>
        </row>
        <row r="62">
          <cell r="B62" t="str">
            <v>GJ 21 Y 4619</v>
          </cell>
          <cell r="C62">
            <v>69100</v>
          </cell>
        </row>
        <row r="63">
          <cell r="B63" t="str">
            <v>GJ 21 Y 8967</v>
          </cell>
          <cell r="C63">
            <v>69930</v>
          </cell>
        </row>
        <row r="64">
          <cell r="B64" t="str">
            <v>GJ 21 Z 8967</v>
          </cell>
          <cell r="C64">
            <v>72120</v>
          </cell>
        </row>
        <row r="65">
          <cell r="B65" t="str">
            <v>GJ 23AY 0231</v>
          </cell>
          <cell r="C65">
            <v>79657</v>
          </cell>
        </row>
        <row r="66">
          <cell r="B66" t="str">
            <v>GJ 24 X 5423</v>
          </cell>
          <cell r="C66">
            <v>78585</v>
          </cell>
        </row>
        <row r="67">
          <cell r="B67" t="str">
            <v>GJ-01K-7552</v>
          </cell>
          <cell r="C67">
            <v>21147</v>
          </cell>
        </row>
        <row r="68">
          <cell r="B68" t="str">
            <v>GJ15AX1710</v>
          </cell>
          <cell r="C68">
            <v>3600</v>
          </cell>
        </row>
        <row r="69">
          <cell r="B69" t="str">
            <v>GJ16AY9648</v>
          </cell>
          <cell r="C69">
            <v>70650</v>
          </cell>
        </row>
        <row r="70">
          <cell r="B70" t="str">
            <v>HR 26 FZ 8882</v>
          </cell>
          <cell r="C70">
            <v>0</v>
          </cell>
        </row>
        <row r="71">
          <cell r="B71" t="str">
            <v>HR 38 J 6087</v>
          </cell>
          <cell r="C71">
            <v>87693</v>
          </cell>
        </row>
        <row r="72">
          <cell r="B72" t="str">
            <v>HR 47 F 4745</v>
          </cell>
          <cell r="C72">
            <v>114170</v>
          </cell>
        </row>
        <row r="73">
          <cell r="B73" t="str">
            <v>HR 47 G 2495</v>
          </cell>
          <cell r="C73">
            <v>120020</v>
          </cell>
        </row>
        <row r="74">
          <cell r="B74" t="str">
            <v>HR-55AL-1846</v>
          </cell>
          <cell r="C74">
            <v>31064</v>
          </cell>
        </row>
        <row r="75">
          <cell r="B75" t="str">
            <v>HR 55 AQ 5945</v>
          </cell>
          <cell r="C75">
            <v>63328</v>
          </cell>
        </row>
        <row r="76">
          <cell r="B76" t="str">
            <v>HR 55 AW 0975</v>
          </cell>
          <cell r="C76">
            <v>35947</v>
          </cell>
        </row>
        <row r="77">
          <cell r="B77" t="str">
            <v>HR 55 AW 0975/7649</v>
          </cell>
          <cell r="C77">
            <v>74799</v>
          </cell>
        </row>
        <row r="78">
          <cell r="B78" t="str">
            <v>HR 55 AX 1428</v>
          </cell>
          <cell r="C78">
            <v>55000</v>
          </cell>
        </row>
        <row r="79">
          <cell r="B79" t="str">
            <v>HR 55 AX 4866</v>
          </cell>
          <cell r="C79">
            <v>35000</v>
          </cell>
        </row>
        <row r="80">
          <cell r="B80" t="str">
            <v>HR 55 AY 4052</v>
          </cell>
          <cell r="C80">
            <v>20106</v>
          </cell>
        </row>
        <row r="81">
          <cell r="B81" t="str">
            <v>HR 55 BA 3898</v>
          </cell>
          <cell r="C81">
            <v>0</v>
          </cell>
        </row>
        <row r="82">
          <cell r="B82" t="str">
            <v>HR 55 BB 4206</v>
          </cell>
          <cell r="C82">
            <v>0</v>
          </cell>
        </row>
        <row r="83">
          <cell r="B83" t="str">
            <v>HR 55 BB 7853</v>
          </cell>
          <cell r="C83">
            <v>5190</v>
          </cell>
        </row>
        <row r="84">
          <cell r="B84" t="str">
            <v>HR 55 BB00262</v>
          </cell>
          <cell r="C84">
            <v>38704</v>
          </cell>
        </row>
        <row r="85">
          <cell r="B85" t="str">
            <v>HR 55 BD 8299</v>
          </cell>
          <cell r="C85">
            <v>0</v>
          </cell>
        </row>
        <row r="86">
          <cell r="B86" t="str">
            <v>HR 55AG 1451</v>
          </cell>
          <cell r="C86">
            <v>0</v>
          </cell>
        </row>
        <row r="87">
          <cell r="B87" t="str">
            <v>HR 55AG 3526</v>
          </cell>
          <cell r="C87">
            <v>0</v>
          </cell>
        </row>
        <row r="88">
          <cell r="B88" t="str">
            <v>HR 55AG 5093</v>
          </cell>
          <cell r="C88">
            <v>0</v>
          </cell>
        </row>
        <row r="89">
          <cell r="B89" t="str">
            <v>HR 55AH 8939</v>
          </cell>
          <cell r="C89">
            <v>0</v>
          </cell>
        </row>
        <row r="90">
          <cell r="B90" t="str">
            <v>HR 55AH1982</v>
          </cell>
          <cell r="C90">
            <v>0</v>
          </cell>
        </row>
        <row r="91">
          <cell r="B91" t="str">
            <v>HR 55AX 1194</v>
          </cell>
          <cell r="C91">
            <v>35000</v>
          </cell>
        </row>
        <row r="92">
          <cell r="B92" t="str">
            <v>HR 55BC 1637</v>
          </cell>
          <cell r="C92">
            <v>0</v>
          </cell>
        </row>
        <row r="93">
          <cell r="B93" t="str">
            <v>HR 66 C 0944</v>
          </cell>
          <cell r="C93">
            <v>59540</v>
          </cell>
        </row>
        <row r="94">
          <cell r="B94" t="str">
            <v>HR 66 C 2373</v>
          </cell>
          <cell r="C94">
            <v>53000</v>
          </cell>
        </row>
        <row r="95">
          <cell r="B95" t="str">
            <v>HR 66C 0292</v>
          </cell>
          <cell r="C95">
            <v>55000</v>
          </cell>
        </row>
        <row r="96">
          <cell r="B96" t="str">
            <v>HR 66C 2987</v>
          </cell>
          <cell r="C96">
            <v>53000</v>
          </cell>
        </row>
        <row r="97">
          <cell r="B97" t="str">
            <v>HR 66D 1538</v>
          </cell>
          <cell r="C97">
            <v>55000</v>
          </cell>
        </row>
        <row r="98">
          <cell r="B98" t="str">
            <v>HR 67 E 3075</v>
          </cell>
          <cell r="C98">
            <v>35931</v>
          </cell>
        </row>
        <row r="99">
          <cell r="B99" t="str">
            <v>HR26 EW 5895</v>
          </cell>
          <cell r="C99">
            <v>30000</v>
          </cell>
        </row>
        <row r="100">
          <cell r="B100" t="str">
            <v>HR-26FB-7616</v>
          </cell>
          <cell r="C100">
            <v>68000</v>
          </cell>
        </row>
        <row r="101">
          <cell r="B101" t="str">
            <v>HR47E 9469</v>
          </cell>
          <cell r="C101">
            <v>62074</v>
          </cell>
        </row>
        <row r="102">
          <cell r="B102" t="str">
            <v>HR-47F-1040</v>
          </cell>
          <cell r="C102">
            <v>38020</v>
          </cell>
        </row>
        <row r="103">
          <cell r="B103" t="str">
            <v>HR-47F-5680</v>
          </cell>
          <cell r="C103">
            <v>41054</v>
          </cell>
        </row>
        <row r="104">
          <cell r="B104" t="str">
            <v>HR55 -AU-3333</v>
          </cell>
          <cell r="C104">
            <v>110848</v>
          </cell>
        </row>
        <row r="105">
          <cell r="B105" t="str">
            <v>HR-55AB-0471</v>
          </cell>
          <cell r="C105">
            <v>0</v>
          </cell>
        </row>
        <row r="106">
          <cell r="B106" t="str">
            <v>HR-55AC-8668</v>
          </cell>
          <cell r="C106">
            <v>0</v>
          </cell>
        </row>
        <row r="107">
          <cell r="B107" t="str">
            <v>HR-55AF-5134</v>
          </cell>
          <cell r="C107">
            <v>0</v>
          </cell>
        </row>
        <row r="108">
          <cell r="B108" t="str">
            <v>HR-55AG-4440</v>
          </cell>
          <cell r="C108">
            <v>0</v>
          </cell>
        </row>
        <row r="109">
          <cell r="B109" t="str">
            <v>HR-55AH-3603</v>
          </cell>
          <cell r="C109">
            <v>0</v>
          </cell>
        </row>
        <row r="110">
          <cell r="B110" t="str">
            <v>HR-55AK-5787</v>
          </cell>
          <cell r="C110">
            <v>0</v>
          </cell>
        </row>
        <row r="111">
          <cell r="B111" t="str">
            <v>HR-55-AL-5921</v>
          </cell>
          <cell r="C111">
            <v>54000</v>
          </cell>
        </row>
        <row r="112">
          <cell r="B112" t="str">
            <v>HR55AL8495</v>
          </cell>
          <cell r="C112">
            <v>32000</v>
          </cell>
        </row>
        <row r="113">
          <cell r="B113" t="str">
            <v>HR-55AM-6605</v>
          </cell>
          <cell r="C113">
            <v>4173</v>
          </cell>
        </row>
        <row r="114">
          <cell r="B114" t="str">
            <v>HR-55AR-1096</v>
          </cell>
          <cell r="C114">
            <v>0</v>
          </cell>
        </row>
        <row r="115">
          <cell r="B115" t="str">
            <v>HR-55AU-4444</v>
          </cell>
          <cell r="C115">
            <v>134494</v>
          </cell>
        </row>
        <row r="116">
          <cell r="B116" t="str">
            <v>HR-55AW-0975</v>
          </cell>
          <cell r="C116">
            <v>24822</v>
          </cell>
        </row>
        <row r="117">
          <cell r="B117" t="str">
            <v>HR55AZ 3560</v>
          </cell>
          <cell r="C117">
            <v>0</v>
          </cell>
        </row>
        <row r="118">
          <cell r="B118" t="str">
            <v>HR55AZ3356</v>
          </cell>
          <cell r="C118">
            <v>0</v>
          </cell>
        </row>
        <row r="119">
          <cell r="B119" t="str">
            <v>HR55BB1967</v>
          </cell>
          <cell r="C119">
            <v>70600</v>
          </cell>
        </row>
        <row r="120">
          <cell r="B120" t="str">
            <v>HR-55BB-7853</v>
          </cell>
          <cell r="C120">
            <v>5072</v>
          </cell>
        </row>
        <row r="121">
          <cell r="B121" t="str">
            <v>HR55BD8968</v>
          </cell>
          <cell r="C121">
            <v>79165</v>
          </cell>
        </row>
        <row r="122">
          <cell r="B122" t="str">
            <v>HR-66B-4572</v>
          </cell>
          <cell r="C122">
            <v>47860</v>
          </cell>
        </row>
        <row r="123">
          <cell r="B123" t="str">
            <v>HR 66 C 2856</v>
          </cell>
          <cell r="C123">
            <v>51395</v>
          </cell>
        </row>
        <row r="124">
          <cell r="B124" t="str">
            <v>HR-66C-8938</v>
          </cell>
          <cell r="C124">
            <v>35297</v>
          </cell>
        </row>
        <row r="125">
          <cell r="B125" t="str">
            <v>MH 12  VF 7353</v>
          </cell>
          <cell r="C125">
            <v>0</v>
          </cell>
        </row>
        <row r="126">
          <cell r="B126" t="str">
            <v>MH 12 RN 4825</v>
          </cell>
          <cell r="C126">
            <v>0</v>
          </cell>
        </row>
        <row r="127">
          <cell r="B127" t="str">
            <v>MH 12 RN 6263</v>
          </cell>
          <cell r="C127">
            <v>0</v>
          </cell>
        </row>
        <row r="128">
          <cell r="B128" t="str">
            <v>MH 12 SF 4142</v>
          </cell>
          <cell r="C128">
            <v>0</v>
          </cell>
        </row>
        <row r="129">
          <cell r="B129" t="str">
            <v>MH 12 UF 7353</v>
          </cell>
          <cell r="C129">
            <v>0</v>
          </cell>
        </row>
        <row r="130">
          <cell r="B130" t="str">
            <v>MH 12 UM 2334</v>
          </cell>
          <cell r="C130">
            <v>0</v>
          </cell>
        </row>
        <row r="131">
          <cell r="B131" t="str">
            <v>MH 12 VT 4764</v>
          </cell>
          <cell r="C131">
            <v>0</v>
          </cell>
        </row>
        <row r="132">
          <cell r="B132" t="str">
            <v>MH 12 WJ 4764</v>
          </cell>
          <cell r="C132">
            <v>0</v>
          </cell>
        </row>
        <row r="133">
          <cell r="B133" t="str">
            <v>MH 12RN 1809</v>
          </cell>
          <cell r="C133">
            <v>0</v>
          </cell>
        </row>
        <row r="134">
          <cell r="B134" t="str">
            <v>MH 14 MH 6263</v>
          </cell>
          <cell r="C134">
            <v>0</v>
          </cell>
        </row>
        <row r="135">
          <cell r="B135" t="str">
            <v>MH 14 MT 2962</v>
          </cell>
          <cell r="C135">
            <v>0</v>
          </cell>
        </row>
        <row r="136">
          <cell r="B136" t="str">
            <v>MH 14 MT 8082</v>
          </cell>
          <cell r="C136">
            <v>0</v>
          </cell>
        </row>
        <row r="137">
          <cell r="B137" t="str">
            <v>MH.12.RN.6263</v>
          </cell>
          <cell r="C137">
            <v>0</v>
          </cell>
        </row>
        <row r="138">
          <cell r="B138" t="str">
            <v>MH.14.NE.6263</v>
          </cell>
          <cell r="C138">
            <v>0</v>
          </cell>
        </row>
        <row r="139">
          <cell r="B139" t="str">
            <v>MH-12RN-4825</v>
          </cell>
          <cell r="C139">
            <v>0</v>
          </cell>
        </row>
        <row r="140">
          <cell r="B140" t="str">
            <v>MH-12RN-6263</v>
          </cell>
          <cell r="C140">
            <v>0</v>
          </cell>
        </row>
        <row r="141">
          <cell r="B141" t="str">
            <v>MH12VT 4764</v>
          </cell>
          <cell r="C141">
            <v>0</v>
          </cell>
        </row>
        <row r="142">
          <cell r="B142" t="str">
            <v>MH-12VT-6263</v>
          </cell>
          <cell r="C142">
            <v>0</v>
          </cell>
        </row>
        <row r="143">
          <cell r="B143" t="str">
            <v>MH-12XM-6566</v>
          </cell>
          <cell r="C143">
            <v>0</v>
          </cell>
        </row>
        <row r="144">
          <cell r="B144" t="str">
            <v>MH12XM8862</v>
          </cell>
          <cell r="C144">
            <v>0</v>
          </cell>
        </row>
        <row r="145">
          <cell r="B145" t="str">
            <v>MH-12XM-8862</v>
          </cell>
          <cell r="C145">
            <v>0</v>
          </cell>
        </row>
        <row r="146">
          <cell r="B146" t="str">
            <v>MH14MT2962</v>
          </cell>
          <cell r="C146">
            <v>0</v>
          </cell>
        </row>
        <row r="147">
          <cell r="B147" t="str">
            <v>MP 09 AM 2809</v>
          </cell>
          <cell r="C147">
            <v>0</v>
          </cell>
        </row>
        <row r="148">
          <cell r="B148" t="str">
            <v>PY 01 DC 8283</v>
          </cell>
          <cell r="C148">
            <v>30604</v>
          </cell>
        </row>
        <row r="149">
          <cell r="B149" t="str">
            <v>TG 16 T 1273</v>
          </cell>
          <cell r="C149">
            <v>4909</v>
          </cell>
        </row>
        <row r="150">
          <cell r="B150" t="str">
            <v>TN 01 BH 4133</v>
          </cell>
          <cell r="C150">
            <v>22416</v>
          </cell>
        </row>
        <row r="151">
          <cell r="B151" t="str">
            <v>TN 47 AM 0583</v>
          </cell>
          <cell r="C151">
            <v>4893</v>
          </cell>
        </row>
        <row r="152">
          <cell r="B152" t="str">
            <v>TN 79 M0570</v>
          </cell>
          <cell r="C152">
            <v>2027</v>
          </cell>
        </row>
        <row r="153">
          <cell r="B153" t="str">
            <v>TN-02CF-5689</v>
          </cell>
          <cell r="C153">
            <v>5077</v>
          </cell>
        </row>
        <row r="154">
          <cell r="B154" t="str">
            <v>TN-22ED-4424</v>
          </cell>
          <cell r="C154">
            <v>8783</v>
          </cell>
        </row>
        <row r="155">
          <cell r="B155" t="str">
            <v>TS 08 UE 8665</v>
          </cell>
          <cell r="C155">
            <v>33522</v>
          </cell>
        </row>
        <row r="156">
          <cell r="B156" t="str">
            <v>UK 03 TA 2522</v>
          </cell>
          <cell r="C156">
            <v>58387</v>
          </cell>
        </row>
      </sheetData>
      <sheetData sheetId="2">
        <row r="3">
          <cell r="B3" t="str">
            <v>- MH 12RN 18862</v>
          </cell>
          <cell r="C3">
            <v>4500</v>
          </cell>
        </row>
        <row r="4">
          <cell r="B4" t="str">
            <v>0262</v>
          </cell>
          <cell r="C4">
            <v>106836.67</v>
          </cell>
        </row>
        <row r="5">
          <cell r="B5" t="str">
            <v>0975</v>
          </cell>
          <cell r="C5">
            <v>4300</v>
          </cell>
        </row>
        <row r="6">
          <cell r="B6" t="str">
            <v>1204/4699</v>
          </cell>
          <cell r="C6">
            <v>45353</v>
          </cell>
        </row>
        <row r="7">
          <cell r="B7" t="str">
            <v>1345</v>
          </cell>
          <cell r="C7">
            <v>136692.5</v>
          </cell>
        </row>
        <row r="8">
          <cell r="B8" t="str">
            <v>1405</v>
          </cell>
          <cell r="C8">
            <v>99508</v>
          </cell>
        </row>
        <row r="9">
          <cell r="B9" t="str">
            <v>1521</v>
          </cell>
          <cell r="C9">
            <v>31625.17</v>
          </cell>
        </row>
        <row r="10">
          <cell r="B10" t="str">
            <v>1674</v>
          </cell>
          <cell r="C10">
            <v>118040</v>
          </cell>
        </row>
        <row r="11">
          <cell r="B11" t="str">
            <v>1805</v>
          </cell>
          <cell r="C11">
            <v>100135</v>
          </cell>
        </row>
        <row r="12">
          <cell r="B12" t="str">
            <v>1809</v>
          </cell>
          <cell r="C12">
            <v>15428</v>
          </cell>
        </row>
        <row r="13">
          <cell r="B13" t="str">
            <v>1831</v>
          </cell>
          <cell r="C13">
            <v>7785</v>
          </cell>
        </row>
        <row r="14">
          <cell r="B14" t="str">
            <v>2274</v>
          </cell>
          <cell r="C14">
            <v>90567</v>
          </cell>
        </row>
        <row r="15">
          <cell r="B15" t="str">
            <v>2393</v>
          </cell>
          <cell r="C15">
            <v>5060</v>
          </cell>
        </row>
        <row r="16">
          <cell r="B16" t="str">
            <v>4699</v>
          </cell>
          <cell r="C16">
            <v>64510</v>
          </cell>
        </row>
        <row r="17">
          <cell r="B17" t="str">
            <v>4764</v>
          </cell>
          <cell r="C17">
            <v>13820</v>
          </cell>
        </row>
        <row r="18">
          <cell r="B18" t="str">
            <v>4927</v>
          </cell>
          <cell r="C18">
            <v>20320</v>
          </cell>
        </row>
        <row r="19">
          <cell r="B19" t="str">
            <v>5000</v>
          </cell>
          <cell r="C19">
            <v>18535</v>
          </cell>
        </row>
        <row r="20">
          <cell r="B20" t="str">
            <v>5028</v>
          </cell>
          <cell r="C20">
            <v>73142.5</v>
          </cell>
        </row>
        <row r="21">
          <cell r="B21" t="str">
            <v>5500</v>
          </cell>
          <cell r="C21">
            <v>5950</v>
          </cell>
        </row>
        <row r="22">
          <cell r="B22" t="str">
            <v>5500, 8800</v>
          </cell>
          <cell r="C22">
            <v>34717</v>
          </cell>
        </row>
        <row r="23">
          <cell r="B23" t="str">
            <v>5641,2333,9303</v>
          </cell>
          <cell r="C23">
            <v>120482.5</v>
          </cell>
        </row>
        <row r="24">
          <cell r="B24" t="str">
            <v>5673</v>
          </cell>
          <cell r="C24">
            <v>60279.649999999994</v>
          </cell>
        </row>
        <row r="25">
          <cell r="B25" t="str">
            <v>5860</v>
          </cell>
          <cell r="C25">
            <v>200715.83</v>
          </cell>
        </row>
        <row r="26">
          <cell r="B26" t="str">
            <v>7154</v>
          </cell>
          <cell r="C26">
            <v>11375</v>
          </cell>
        </row>
        <row r="27">
          <cell r="B27" t="str">
            <v>7193</v>
          </cell>
          <cell r="C27">
            <v>3754</v>
          </cell>
        </row>
        <row r="28">
          <cell r="B28" t="str">
            <v>7257</v>
          </cell>
          <cell r="C28">
            <v>2334</v>
          </cell>
        </row>
        <row r="29">
          <cell r="B29" t="str">
            <v>7649</v>
          </cell>
          <cell r="C29">
            <v>51567.5</v>
          </cell>
        </row>
        <row r="30">
          <cell r="B30" t="str">
            <v>7666</v>
          </cell>
          <cell r="C30">
            <v>108901.67</v>
          </cell>
        </row>
        <row r="31">
          <cell r="B31" t="str">
            <v>7764</v>
          </cell>
          <cell r="C31">
            <v>51283.33</v>
          </cell>
        </row>
        <row r="32">
          <cell r="B32" t="str">
            <v>7764/4699/8077</v>
          </cell>
          <cell r="C32">
            <v>19650</v>
          </cell>
        </row>
        <row r="33">
          <cell r="B33" t="str">
            <v>7906</v>
          </cell>
          <cell r="C33">
            <v>53247.5</v>
          </cell>
        </row>
        <row r="34">
          <cell r="B34" t="str">
            <v>8048</v>
          </cell>
          <cell r="C34">
            <v>44966.83</v>
          </cell>
        </row>
        <row r="35">
          <cell r="B35" t="str">
            <v>8077</v>
          </cell>
          <cell r="C35">
            <v>4400</v>
          </cell>
        </row>
        <row r="36">
          <cell r="B36" t="str">
            <v>8082</v>
          </cell>
          <cell r="C36">
            <v>6300</v>
          </cell>
        </row>
        <row r="37">
          <cell r="B37" t="str">
            <v>8203</v>
          </cell>
          <cell r="C37">
            <v>72703</v>
          </cell>
        </row>
        <row r="38">
          <cell r="B38" t="str">
            <v>8579</v>
          </cell>
          <cell r="C38">
            <v>4500</v>
          </cell>
        </row>
        <row r="39">
          <cell r="B39" t="str">
            <v>8800</v>
          </cell>
          <cell r="C39">
            <v>5350</v>
          </cell>
        </row>
        <row r="40">
          <cell r="B40" t="str">
            <v>8862</v>
          </cell>
          <cell r="C40">
            <v>11241</v>
          </cell>
        </row>
        <row r="41">
          <cell r="B41" t="str">
            <v>8996</v>
          </cell>
          <cell r="C41">
            <v>11579.5</v>
          </cell>
        </row>
        <row r="42">
          <cell r="B42" t="str">
            <v>9001</v>
          </cell>
          <cell r="C42">
            <v>10760</v>
          </cell>
        </row>
        <row r="43">
          <cell r="B43" t="str">
            <v>9124</v>
          </cell>
          <cell r="C43">
            <v>109789.83</v>
          </cell>
        </row>
        <row r="44">
          <cell r="B44" t="str">
            <v>9425</v>
          </cell>
          <cell r="C44">
            <v>40598</v>
          </cell>
        </row>
        <row r="45">
          <cell r="B45" t="str">
            <v>9556</v>
          </cell>
          <cell r="C45">
            <v>227817.5</v>
          </cell>
        </row>
        <row r="46">
          <cell r="B46" t="str">
            <v>9970</v>
          </cell>
          <cell r="C46">
            <v>152398</v>
          </cell>
        </row>
        <row r="47">
          <cell r="B47" t="str">
            <v>DL 1ZB 2702</v>
          </cell>
          <cell r="C47">
            <v>51510</v>
          </cell>
        </row>
        <row r="48">
          <cell r="B48" t="str">
            <v>DL1VC 7164</v>
          </cell>
          <cell r="C48">
            <v>56130.02</v>
          </cell>
        </row>
        <row r="49">
          <cell r="B49" t="str">
            <v>GJ 05 CY 7890</v>
          </cell>
          <cell r="C49">
            <v>103861.33</v>
          </cell>
        </row>
        <row r="50">
          <cell r="B50" t="str">
            <v>GJ 05 CY 9060</v>
          </cell>
          <cell r="C50">
            <v>106507</v>
          </cell>
        </row>
        <row r="51">
          <cell r="B51" t="str">
            <v>GJ 05 DU 1440</v>
          </cell>
          <cell r="C51">
            <v>62310</v>
          </cell>
        </row>
        <row r="52">
          <cell r="B52" t="str">
            <v>GJ 06 BV 6747</v>
          </cell>
          <cell r="C52">
            <v>63149</v>
          </cell>
        </row>
        <row r="53">
          <cell r="B53" t="str">
            <v>GJ 06 BX 4906</v>
          </cell>
          <cell r="C53">
            <v>99366</v>
          </cell>
        </row>
        <row r="54">
          <cell r="B54" t="str">
            <v>GJ 06 BX 9846</v>
          </cell>
          <cell r="C54">
            <v>101661</v>
          </cell>
        </row>
        <row r="55">
          <cell r="B55" t="str">
            <v>GJ 06 BY 0107</v>
          </cell>
          <cell r="C55">
            <v>94456</v>
          </cell>
        </row>
        <row r="56">
          <cell r="B56" t="str">
            <v>GJ 07 TU 8375</v>
          </cell>
          <cell r="C56">
            <v>129228</v>
          </cell>
        </row>
        <row r="57">
          <cell r="B57" t="str">
            <v>GJ 09AU 9128</v>
          </cell>
          <cell r="C57">
            <v>92920</v>
          </cell>
        </row>
        <row r="58">
          <cell r="B58" t="str">
            <v>GJ 15 AT 8880</v>
          </cell>
          <cell r="C58">
            <v>200860</v>
          </cell>
        </row>
        <row r="59">
          <cell r="B59" t="str">
            <v>GJ 15 AX 4321</v>
          </cell>
          <cell r="C59">
            <v>94557.5</v>
          </cell>
        </row>
        <row r="60">
          <cell r="B60" t="str">
            <v>GJ 15 AX 8002</v>
          </cell>
          <cell r="C60">
            <v>100407.17</v>
          </cell>
        </row>
        <row r="61">
          <cell r="B61" t="str">
            <v>GJ 15 AY 1450</v>
          </cell>
          <cell r="C61">
            <v>98542</v>
          </cell>
        </row>
        <row r="62">
          <cell r="B62" t="str">
            <v>GJ 21 Y 4619</v>
          </cell>
          <cell r="C62">
            <v>86784</v>
          </cell>
        </row>
        <row r="63">
          <cell r="B63" t="str">
            <v>GJ 21 Y 8967</v>
          </cell>
          <cell r="C63">
            <v>97672</v>
          </cell>
        </row>
        <row r="64">
          <cell r="B64" t="str">
            <v>GJ 21 Z 8967</v>
          </cell>
          <cell r="C64">
            <v>92734</v>
          </cell>
        </row>
        <row r="65">
          <cell r="B65" t="str">
            <v>GJ 23AY 0231</v>
          </cell>
          <cell r="C65">
            <v>110931</v>
          </cell>
        </row>
        <row r="66">
          <cell r="B66" t="str">
            <v>GJ 24 X 5423</v>
          </cell>
          <cell r="C66">
            <v>102925</v>
          </cell>
        </row>
        <row r="67">
          <cell r="B67" t="str">
            <v>GJ-01K-7552</v>
          </cell>
          <cell r="C67">
            <v>23333</v>
          </cell>
        </row>
        <row r="68">
          <cell r="B68" t="str">
            <v>GJ15AX1710</v>
          </cell>
          <cell r="C68">
            <v>5175</v>
          </cell>
        </row>
        <row r="69">
          <cell r="B69" t="str">
            <v>GJ16AY9648</v>
          </cell>
          <cell r="C69">
            <v>93823</v>
          </cell>
        </row>
        <row r="70">
          <cell r="B70" t="str">
            <v>HR 26 FZ 8882</v>
          </cell>
          <cell r="C70">
            <v>122333.33</v>
          </cell>
        </row>
        <row r="71">
          <cell r="B71" t="str">
            <v>HR 38 J 6087</v>
          </cell>
          <cell r="C71">
            <v>119478.33</v>
          </cell>
        </row>
        <row r="72">
          <cell r="B72" t="str">
            <v>HR 47 F 4745</v>
          </cell>
          <cell r="C72">
            <v>134352</v>
          </cell>
        </row>
        <row r="73">
          <cell r="B73" t="str">
            <v>HR 47 G 2495</v>
          </cell>
          <cell r="C73">
            <v>144653.32999999999</v>
          </cell>
        </row>
        <row r="74">
          <cell r="B74" t="str">
            <v>HR-55AL-1846</v>
          </cell>
          <cell r="C74">
            <v>338386</v>
          </cell>
        </row>
        <row r="75">
          <cell r="B75" t="str">
            <v>HR 55 AQ 5945</v>
          </cell>
          <cell r="C75">
            <v>87330</v>
          </cell>
        </row>
        <row r="76">
          <cell r="B76" t="str">
            <v>HR 55 AW 0975</v>
          </cell>
          <cell r="C76">
            <v>50110.83</v>
          </cell>
        </row>
        <row r="77">
          <cell r="B77" t="str">
            <v>HR 55 AW 0975/7649</v>
          </cell>
          <cell r="C77">
            <v>104426.67</v>
          </cell>
        </row>
        <row r="78">
          <cell r="B78" t="str">
            <v>HR 55 AX 1428</v>
          </cell>
          <cell r="C78">
            <v>131350.67000000001</v>
          </cell>
        </row>
        <row r="79">
          <cell r="B79" t="str">
            <v>HR 55 AX 4866</v>
          </cell>
          <cell r="C79">
            <v>111480</v>
          </cell>
        </row>
        <row r="80">
          <cell r="B80" t="str">
            <v>HR 55 AY 4052</v>
          </cell>
          <cell r="C80">
            <v>29047.5</v>
          </cell>
        </row>
        <row r="81">
          <cell r="B81" t="str">
            <v>HR 55 BA 3898</v>
          </cell>
          <cell r="C81">
            <v>96741.33</v>
          </cell>
        </row>
        <row r="82">
          <cell r="B82" t="str">
            <v>HR 55 BB 4206</v>
          </cell>
          <cell r="C82">
            <v>248830.33000000002</v>
          </cell>
        </row>
        <row r="83">
          <cell r="B83" t="str">
            <v>HR 55 BB 7853</v>
          </cell>
          <cell r="C83">
            <v>7235</v>
          </cell>
        </row>
        <row r="84">
          <cell r="B84" t="str">
            <v>HR 55 BB00262</v>
          </cell>
          <cell r="C84">
            <v>53710</v>
          </cell>
        </row>
        <row r="85">
          <cell r="B85" t="str">
            <v>HR 55 BD 8299</v>
          </cell>
          <cell r="C85">
            <v>117765</v>
          </cell>
        </row>
        <row r="86">
          <cell r="B86" t="str">
            <v>HR 55AG 1451</v>
          </cell>
          <cell r="C86">
            <v>104206</v>
          </cell>
        </row>
        <row r="87">
          <cell r="B87" t="str">
            <v>HR 55AG 3526</v>
          </cell>
          <cell r="C87">
            <v>94355.83</v>
          </cell>
        </row>
        <row r="88">
          <cell r="B88" t="str">
            <v>HR 55AG 5093</v>
          </cell>
          <cell r="C88">
            <v>79807</v>
          </cell>
        </row>
        <row r="89">
          <cell r="B89" t="str">
            <v>HR 55AH 8939</v>
          </cell>
          <cell r="C89">
            <v>17820</v>
          </cell>
        </row>
        <row r="90">
          <cell r="B90" t="str">
            <v>HR 55AH1982</v>
          </cell>
          <cell r="C90">
            <v>199913.66999999998</v>
          </cell>
        </row>
        <row r="91">
          <cell r="B91" t="str">
            <v>HR 55AX 1194</v>
          </cell>
          <cell r="C91">
            <v>110905</v>
          </cell>
        </row>
        <row r="92">
          <cell r="B92" t="str">
            <v>HR 55BC 1637</v>
          </cell>
          <cell r="C92">
            <v>130782</v>
          </cell>
        </row>
        <row r="93">
          <cell r="B93" t="str">
            <v>HR 66 C 0944</v>
          </cell>
          <cell r="C93">
            <v>171609.33</v>
          </cell>
        </row>
        <row r="94">
          <cell r="B94" t="str">
            <v>HR 66 C 2373</v>
          </cell>
          <cell r="C94">
            <v>152117.5</v>
          </cell>
        </row>
        <row r="95">
          <cell r="B95" t="str">
            <v>HR 66C 0292</v>
          </cell>
          <cell r="C95">
            <v>169900</v>
          </cell>
        </row>
        <row r="96">
          <cell r="B96" t="str">
            <v>HR 66C 2987</v>
          </cell>
          <cell r="C96">
            <v>132802</v>
          </cell>
        </row>
        <row r="97">
          <cell r="B97" t="str">
            <v>HR 66D 1538</v>
          </cell>
          <cell r="C97">
            <v>130672</v>
          </cell>
        </row>
        <row r="98">
          <cell r="B98" t="str">
            <v>HR 67 E 3075</v>
          </cell>
          <cell r="C98">
            <v>49976.67</v>
          </cell>
        </row>
        <row r="99">
          <cell r="B99" t="str">
            <v>HR26 EW 5895</v>
          </cell>
          <cell r="C99">
            <v>104330</v>
          </cell>
        </row>
        <row r="100">
          <cell r="B100" t="str">
            <v>HR-26FB-7616</v>
          </cell>
          <cell r="C100">
            <v>108585</v>
          </cell>
        </row>
        <row r="101">
          <cell r="B101" t="str">
            <v>HR47E 9469</v>
          </cell>
          <cell r="C101">
            <v>176412.33</v>
          </cell>
        </row>
        <row r="102">
          <cell r="B102" t="str">
            <v>HR-47F-1040</v>
          </cell>
          <cell r="C102">
            <v>111361</v>
          </cell>
        </row>
        <row r="103">
          <cell r="B103" t="str">
            <v>HR-47F-5680</v>
          </cell>
          <cell r="C103">
            <v>151018.67000000001</v>
          </cell>
        </row>
        <row r="104">
          <cell r="B104" t="str">
            <v>HR55 -AU-3333</v>
          </cell>
          <cell r="C104">
            <v>134978.32999999999</v>
          </cell>
        </row>
        <row r="105">
          <cell r="B105" t="str">
            <v>HR-55AB-0471</v>
          </cell>
          <cell r="C105">
            <v>138919.66999999998</v>
          </cell>
        </row>
        <row r="106">
          <cell r="B106" t="str">
            <v>HR-55AC-8668</v>
          </cell>
          <cell r="C106">
            <v>217239</v>
          </cell>
        </row>
        <row r="107">
          <cell r="B107" t="str">
            <v>HR-55AF-5134</v>
          </cell>
          <cell r="C107">
            <v>193219.17</v>
          </cell>
        </row>
        <row r="108">
          <cell r="B108" t="str">
            <v>HR-55AG-4440</v>
          </cell>
          <cell r="C108">
            <v>165212</v>
          </cell>
        </row>
        <row r="109">
          <cell r="B109" t="str">
            <v>HR-55AH-3603</v>
          </cell>
          <cell r="C109">
            <v>74740.5</v>
          </cell>
        </row>
        <row r="110">
          <cell r="B110" t="str">
            <v>HR-55AK-5787</v>
          </cell>
          <cell r="C110">
            <v>94905</v>
          </cell>
        </row>
        <row r="111">
          <cell r="B111" t="str">
            <v>HR-55-AL-5921</v>
          </cell>
          <cell r="C111">
            <v>165098</v>
          </cell>
        </row>
        <row r="112">
          <cell r="B112" t="str">
            <v>HR55AL8495</v>
          </cell>
          <cell r="C112">
            <v>100616.67</v>
          </cell>
        </row>
        <row r="113">
          <cell r="B113" t="str">
            <v>HR-55AM-6605</v>
          </cell>
          <cell r="C113">
            <v>5750</v>
          </cell>
        </row>
        <row r="114">
          <cell r="B114" t="str">
            <v>HR-55AR-1096</v>
          </cell>
          <cell r="C114">
            <v>126816.33</v>
          </cell>
        </row>
        <row r="115">
          <cell r="B115" t="str">
            <v>HR-55AU-4444</v>
          </cell>
          <cell r="C115">
            <v>152090</v>
          </cell>
        </row>
        <row r="116">
          <cell r="B116" t="str">
            <v>HR-55AW-0975</v>
          </cell>
          <cell r="C116">
            <v>17304</v>
          </cell>
        </row>
        <row r="117">
          <cell r="B117" t="str">
            <v>HR55AZ 3560</v>
          </cell>
          <cell r="C117">
            <v>132828.32999999999</v>
          </cell>
        </row>
        <row r="118">
          <cell r="B118" t="str">
            <v>HR55AZ3356</v>
          </cell>
          <cell r="C118">
            <v>157626.67000000001</v>
          </cell>
        </row>
        <row r="119">
          <cell r="B119" t="str">
            <v>HR55BB1967</v>
          </cell>
          <cell r="C119">
            <v>81476.33</v>
          </cell>
        </row>
        <row r="120">
          <cell r="B120" t="str">
            <v>HR-55BB-7853</v>
          </cell>
          <cell r="C120">
            <v>6790</v>
          </cell>
        </row>
        <row r="121">
          <cell r="B121" t="str">
            <v>HR55BD8968</v>
          </cell>
          <cell r="C121">
            <v>100376</v>
          </cell>
        </row>
        <row r="122">
          <cell r="B122" t="str">
            <v>HR-66B-4572</v>
          </cell>
          <cell r="C122">
            <v>222929.99</v>
          </cell>
        </row>
        <row r="123">
          <cell r="B123" t="str">
            <v>HR 66 C 2856</v>
          </cell>
          <cell r="C123">
            <v>193970</v>
          </cell>
        </row>
        <row r="124">
          <cell r="B124" t="str">
            <v>HR-66C-8938</v>
          </cell>
          <cell r="C124">
            <v>109701</v>
          </cell>
        </row>
        <row r="125">
          <cell r="B125" t="str">
            <v>MH 12  VF 7353</v>
          </cell>
          <cell r="C125">
            <v>9190</v>
          </cell>
        </row>
        <row r="126">
          <cell r="B126" t="str">
            <v>MH 12 RN 4825</v>
          </cell>
          <cell r="C126">
            <v>23200</v>
          </cell>
        </row>
        <row r="127">
          <cell r="B127" t="str">
            <v>MH 12 RN 6263</v>
          </cell>
          <cell r="C127">
            <v>9160</v>
          </cell>
        </row>
        <row r="128">
          <cell r="B128" t="str">
            <v>MH 12 SF 4142</v>
          </cell>
          <cell r="C128">
            <v>4500</v>
          </cell>
        </row>
        <row r="129">
          <cell r="B129" t="str">
            <v>MH 12 UF 7353</v>
          </cell>
          <cell r="C129">
            <v>18513</v>
          </cell>
        </row>
        <row r="130">
          <cell r="B130" t="str">
            <v>MH 12 UM 2334</v>
          </cell>
          <cell r="C130">
            <v>10375</v>
          </cell>
        </row>
        <row r="131">
          <cell r="B131" t="str">
            <v>MH 12 VT 4764</v>
          </cell>
          <cell r="C131">
            <v>32100</v>
          </cell>
        </row>
        <row r="132">
          <cell r="B132" t="str">
            <v>MH 12 WJ 4764</v>
          </cell>
          <cell r="C132">
            <v>9000</v>
          </cell>
        </row>
        <row r="133">
          <cell r="B133" t="str">
            <v>MH 12RN 1809</v>
          </cell>
          <cell r="C133">
            <v>5250</v>
          </cell>
        </row>
        <row r="134">
          <cell r="B134" t="str">
            <v>MH 14 MH 6263</v>
          </cell>
          <cell r="C134">
            <v>13380</v>
          </cell>
        </row>
        <row r="135">
          <cell r="B135" t="str">
            <v>MH 14 MT 2962</v>
          </cell>
          <cell r="C135">
            <v>13260</v>
          </cell>
        </row>
        <row r="136">
          <cell r="B136" t="str">
            <v>MH 14 MT 8082</v>
          </cell>
          <cell r="C136">
            <v>23525</v>
          </cell>
        </row>
        <row r="137">
          <cell r="B137" t="str">
            <v>MH.12.RN.6263</v>
          </cell>
          <cell r="C137">
            <v>67760</v>
          </cell>
        </row>
        <row r="138">
          <cell r="B138" t="str">
            <v>MH.14.NE.6263</v>
          </cell>
          <cell r="C138">
            <v>4950</v>
          </cell>
        </row>
        <row r="139">
          <cell r="B139" t="str">
            <v>MH-12RN-4825</v>
          </cell>
          <cell r="C139">
            <v>10200</v>
          </cell>
        </row>
        <row r="140">
          <cell r="B140" t="str">
            <v>MH-12RN-6263</v>
          </cell>
          <cell r="C140">
            <v>64377</v>
          </cell>
        </row>
        <row r="141">
          <cell r="B141" t="str">
            <v>MH12VT 4764</v>
          </cell>
          <cell r="C141">
            <v>14738</v>
          </cell>
        </row>
        <row r="142">
          <cell r="B142" t="str">
            <v>MH-12VT-6263</v>
          </cell>
          <cell r="C142">
            <v>24680</v>
          </cell>
        </row>
        <row r="143">
          <cell r="B143" t="str">
            <v>MH-12XM-6566</v>
          </cell>
          <cell r="C143">
            <v>20602</v>
          </cell>
        </row>
        <row r="144">
          <cell r="B144" t="str">
            <v>MH12XM8862</v>
          </cell>
          <cell r="C144">
            <v>4950</v>
          </cell>
        </row>
        <row r="145">
          <cell r="B145" t="str">
            <v>MH-12XM-8862</v>
          </cell>
          <cell r="C145">
            <v>36515</v>
          </cell>
        </row>
        <row r="146">
          <cell r="B146" t="str">
            <v>MH14MT2962</v>
          </cell>
          <cell r="C146">
            <v>28582</v>
          </cell>
        </row>
        <row r="147">
          <cell r="B147" t="str">
            <v>MP 09 AM 2809</v>
          </cell>
          <cell r="C147">
            <v>7195</v>
          </cell>
        </row>
        <row r="148">
          <cell r="B148" t="str">
            <v>PY 01 DC 8283</v>
          </cell>
          <cell r="C148">
            <v>39556</v>
          </cell>
        </row>
        <row r="149">
          <cell r="B149" t="str">
            <v>TG 16 T 1273</v>
          </cell>
          <cell r="C149">
            <v>5725</v>
          </cell>
        </row>
        <row r="150">
          <cell r="B150" t="str">
            <v>TN 01 BH 4133</v>
          </cell>
          <cell r="C150">
            <v>35916</v>
          </cell>
        </row>
        <row r="151">
          <cell r="B151" t="str">
            <v>TN 47 AM 0583</v>
          </cell>
          <cell r="C151">
            <v>6960</v>
          </cell>
        </row>
        <row r="152">
          <cell r="B152" t="str">
            <v>TN 79 M0570</v>
          </cell>
          <cell r="C152">
            <v>3430</v>
          </cell>
        </row>
        <row r="153">
          <cell r="B153" t="str">
            <v>TN-02CF-5689</v>
          </cell>
          <cell r="C153">
            <v>6551</v>
          </cell>
        </row>
        <row r="154">
          <cell r="B154" t="str">
            <v>TN-22ED-4424</v>
          </cell>
          <cell r="C154">
            <v>7987</v>
          </cell>
        </row>
        <row r="155">
          <cell r="B155" t="str">
            <v>TS 08 UE 8665</v>
          </cell>
          <cell r="C155">
            <v>38416</v>
          </cell>
        </row>
        <row r="156">
          <cell r="B156" t="str">
            <v>UK03TA2522</v>
          </cell>
          <cell r="C156">
            <v>117937.33</v>
          </cell>
        </row>
        <row r="157">
          <cell r="B157" t="str">
            <v>0308</v>
          </cell>
          <cell r="C157">
            <v>31868</v>
          </cell>
        </row>
        <row r="158">
          <cell r="B158">
            <v>3736</v>
          </cell>
          <cell r="C158">
            <v>105805</v>
          </cell>
        </row>
        <row r="159">
          <cell r="B159">
            <v>2602</v>
          </cell>
          <cell r="C159">
            <v>8243</v>
          </cell>
        </row>
        <row r="160">
          <cell r="B160" t="str">
            <v>8799/1475</v>
          </cell>
          <cell r="C160">
            <v>31815</v>
          </cell>
        </row>
        <row r="161">
          <cell r="B161" t="str">
            <v>0155</v>
          </cell>
          <cell r="C161">
            <v>5775</v>
          </cell>
        </row>
      </sheetData>
      <sheetData sheetId="3"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NameList"/>
      <sheetName val="Time Sheet"/>
      <sheetName val="CTC"/>
      <sheetName val="WageSlip"/>
      <sheetName val="Holiday"/>
      <sheetName val="Sheet2"/>
      <sheetName val="Sheet1"/>
      <sheetName val="Realty Check"/>
      <sheetName val="Manual"/>
    </sheetNames>
    <sheetDataSet>
      <sheetData sheetId="0"/>
      <sheetData sheetId="1"/>
      <sheetData sheetId="2">
        <row r="8">
          <cell r="D8" t="str">
            <v>0405</v>
          </cell>
          <cell r="E8" t="str">
            <v>BHIM SINGH JINA</v>
          </cell>
          <cell r="F8" t="str">
            <v>Driver</v>
          </cell>
          <cell r="G8" t="str">
            <v>Transport</v>
          </cell>
          <cell r="H8" t="str">
            <v>Gurgaon</v>
          </cell>
          <cell r="I8">
            <v>42552</v>
          </cell>
          <cell r="J8" t="str">
            <v>HR/32843/0093</v>
          </cell>
          <cell r="K8" t="str">
            <v>AOBPJ2538R</v>
          </cell>
          <cell r="L8" t="str">
            <v>HDFC</v>
          </cell>
          <cell r="M8" t="str">
            <v>50100182167414</v>
          </cell>
          <cell r="N8">
            <v>47283</v>
          </cell>
          <cell r="O8">
            <v>21000</v>
          </cell>
          <cell r="P8">
            <v>18500</v>
          </cell>
          <cell r="Q8">
            <v>2500</v>
          </cell>
          <cell r="U8">
            <v>0</v>
          </cell>
          <cell r="V8">
            <v>18500</v>
          </cell>
          <cell r="W8">
            <v>2500</v>
          </cell>
          <cell r="X8">
            <v>0</v>
          </cell>
          <cell r="Y8">
            <v>0</v>
          </cell>
          <cell r="Z8">
            <v>0</v>
          </cell>
          <cell r="AA8">
            <v>0</v>
          </cell>
          <cell r="AB8">
            <v>7877.5</v>
          </cell>
          <cell r="AC8">
            <v>1350</v>
          </cell>
          <cell r="AD8">
            <v>0</v>
          </cell>
          <cell r="AE8">
            <v>0</v>
          </cell>
          <cell r="AG8">
            <v>11600</v>
          </cell>
          <cell r="AK8">
            <v>41827.5</v>
          </cell>
          <cell r="AL8">
            <v>2220</v>
          </cell>
          <cell r="AM8">
            <v>1054</v>
          </cell>
          <cell r="AN8">
            <v>138.75</v>
          </cell>
          <cell r="AO8">
            <v>35</v>
          </cell>
          <cell r="AT8">
            <v>5000</v>
          </cell>
          <cell r="AW8">
            <v>8447.75</v>
          </cell>
          <cell r="AX8">
            <v>33379.75</v>
          </cell>
          <cell r="AY8">
            <v>137</v>
          </cell>
          <cell r="AZ8">
            <v>150</v>
          </cell>
          <cell r="BA8">
            <v>150</v>
          </cell>
          <cell r="BB8">
            <v>822</v>
          </cell>
          <cell r="BD8">
            <v>31</v>
          </cell>
          <cell r="BE8">
            <v>31</v>
          </cell>
          <cell r="BF8">
            <v>27</v>
          </cell>
          <cell r="BG8">
            <v>0</v>
          </cell>
          <cell r="BH8">
            <v>2.3958333333333339</v>
          </cell>
          <cell r="BI8">
            <v>13.75</v>
          </cell>
          <cell r="BJ8">
            <v>1.25</v>
          </cell>
          <cell r="BK8">
            <v>0</v>
          </cell>
          <cell r="BN8">
            <v>15</v>
          </cell>
          <cell r="BO8">
            <v>0</v>
          </cell>
          <cell r="BR8">
            <v>0</v>
          </cell>
          <cell r="BS8">
            <v>0</v>
          </cell>
          <cell r="BV8">
            <v>0</v>
          </cell>
          <cell r="BW8">
            <v>4</v>
          </cell>
          <cell r="BX8">
            <v>31</v>
          </cell>
          <cell r="BY8">
            <v>0</v>
          </cell>
          <cell r="BZ8" t="str">
            <v>2Y   Left</v>
          </cell>
          <cell r="CA8">
            <v>30227.5</v>
          </cell>
          <cell r="CB8" t="str">
            <v>10093 90 502</v>
          </cell>
          <cell r="CC8">
            <v>6925006465</v>
          </cell>
          <cell r="CD8" t="str">
            <v>DL-920160339609/14-06-19</v>
          </cell>
          <cell r="CE8">
            <v>41827.5</v>
          </cell>
          <cell r="CF8">
            <v>2405</v>
          </cell>
          <cell r="CG8">
            <v>601.25</v>
          </cell>
          <cell r="CH8">
            <v>1541.05</v>
          </cell>
          <cell r="CI8">
            <v>450</v>
          </cell>
          <cell r="CJ8">
            <v>1054</v>
          </cell>
          <cell r="CK8">
            <v>64</v>
          </cell>
          <cell r="CL8">
            <v>740</v>
          </cell>
          <cell r="CM8">
            <v>48682.8</v>
          </cell>
        </row>
        <row r="9">
          <cell r="D9" t="str">
            <v>0335</v>
          </cell>
          <cell r="E9" t="str">
            <v>DILBAR SINGH BISHT</v>
          </cell>
          <cell r="F9" t="str">
            <v>Driver</v>
          </cell>
          <cell r="G9" t="str">
            <v>Transport</v>
          </cell>
          <cell r="H9" t="str">
            <v>Gurgaon</v>
          </cell>
          <cell r="I9">
            <v>42860</v>
          </cell>
          <cell r="J9" t="str">
            <v>HR/32843/10156</v>
          </cell>
          <cell r="K9" t="str">
            <v>BDVPS8316L</v>
          </cell>
          <cell r="L9" t="str">
            <v>HDFC</v>
          </cell>
          <cell r="M9" t="str">
            <v>02711050129023</v>
          </cell>
          <cell r="N9">
            <v>46695</v>
          </cell>
          <cell r="O9">
            <v>21000</v>
          </cell>
          <cell r="P9">
            <v>18500</v>
          </cell>
          <cell r="Q9">
            <v>2500</v>
          </cell>
          <cell r="U9">
            <v>0</v>
          </cell>
          <cell r="V9">
            <v>18500</v>
          </cell>
          <cell r="W9">
            <v>2500</v>
          </cell>
          <cell r="X9">
            <v>0</v>
          </cell>
          <cell r="Y9">
            <v>0</v>
          </cell>
          <cell r="Z9">
            <v>0</v>
          </cell>
          <cell r="AA9">
            <v>0</v>
          </cell>
          <cell r="AB9">
            <v>4452.4999999999991</v>
          </cell>
          <cell r="AC9">
            <v>300</v>
          </cell>
          <cell r="AD9">
            <v>0</v>
          </cell>
          <cell r="AE9">
            <v>0</v>
          </cell>
          <cell r="AG9">
            <v>0</v>
          </cell>
          <cell r="AJ9">
            <v>3847.5</v>
          </cell>
          <cell r="AK9">
            <v>29600</v>
          </cell>
          <cell r="AL9">
            <v>2220</v>
          </cell>
          <cell r="AM9">
            <v>1054</v>
          </cell>
          <cell r="AN9">
            <v>138.75</v>
          </cell>
          <cell r="AO9">
            <v>35</v>
          </cell>
          <cell r="AW9">
            <v>3447.75</v>
          </cell>
          <cell r="AX9">
            <v>26152.25</v>
          </cell>
          <cell r="AY9">
            <v>137</v>
          </cell>
          <cell r="AZ9">
            <v>150</v>
          </cell>
          <cell r="BA9">
            <v>150</v>
          </cell>
          <cell r="BB9">
            <v>822</v>
          </cell>
          <cell r="BD9">
            <v>31</v>
          </cell>
          <cell r="BE9">
            <v>31</v>
          </cell>
          <cell r="BF9">
            <v>27</v>
          </cell>
          <cell r="BG9">
            <v>0</v>
          </cell>
          <cell r="BH9">
            <v>1.3541666666666665</v>
          </cell>
          <cell r="BI9">
            <v>12.75</v>
          </cell>
          <cell r="BJ9">
            <v>1.25</v>
          </cell>
          <cell r="BK9">
            <v>0</v>
          </cell>
          <cell r="BN9">
            <v>14</v>
          </cell>
          <cell r="BO9">
            <v>0</v>
          </cell>
          <cell r="BR9">
            <v>0</v>
          </cell>
          <cell r="BS9">
            <v>0</v>
          </cell>
          <cell r="BV9">
            <v>0</v>
          </cell>
          <cell r="BW9">
            <v>4</v>
          </cell>
          <cell r="BX9">
            <v>31</v>
          </cell>
          <cell r="BY9">
            <v>0</v>
          </cell>
          <cell r="BZ9" t="str">
            <v>1Y   Left</v>
          </cell>
          <cell r="CA9">
            <v>25752.5</v>
          </cell>
          <cell r="CB9">
            <v>101110737846</v>
          </cell>
          <cell r="CC9">
            <v>2007213555</v>
          </cell>
          <cell r="CD9" t="str">
            <v>DL-0319970047009 /07-05-18</v>
          </cell>
          <cell r="CE9">
            <v>29600</v>
          </cell>
          <cell r="CF9">
            <v>2405</v>
          </cell>
          <cell r="CG9">
            <v>601.25</v>
          </cell>
          <cell r="CH9">
            <v>1541.05</v>
          </cell>
          <cell r="CI9">
            <v>452</v>
          </cell>
          <cell r="CJ9">
            <v>1054</v>
          </cell>
          <cell r="CK9">
            <v>64</v>
          </cell>
          <cell r="CL9">
            <v>740</v>
          </cell>
          <cell r="CM9">
            <v>36457.300000000003</v>
          </cell>
        </row>
        <row r="10">
          <cell r="D10" t="str">
            <v>0338</v>
          </cell>
          <cell r="E10" t="str">
            <v>CHARAN SINGH</v>
          </cell>
          <cell r="F10" t="str">
            <v>Driver</v>
          </cell>
          <cell r="G10" t="str">
            <v>Transport</v>
          </cell>
          <cell r="H10" t="str">
            <v>Gurgaon</v>
          </cell>
          <cell r="I10">
            <v>42902</v>
          </cell>
          <cell r="J10" t="str">
            <v>HR/32843/10158</v>
          </cell>
          <cell r="K10" t="str">
            <v>IMNPS0359M</v>
          </cell>
          <cell r="L10" t="str">
            <v>HDFC</v>
          </cell>
          <cell r="M10" t="str">
            <v>50100209410169</v>
          </cell>
          <cell r="N10">
            <v>47820</v>
          </cell>
          <cell r="O10">
            <v>21000</v>
          </cell>
          <cell r="P10">
            <v>18500</v>
          </cell>
          <cell r="Q10">
            <v>2500</v>
          </cell>
          <cell r="U10">
            <v>0</v>
          </cell>
          <cell r="V10">
            <v>18500</v>
          </cell>
          <cell r="W10">
            <v>2500</v>
          </cell>
          <cell r="X10">
            <v>0</v>
          </cell>
          <cell r="Y10">
            <v>0</v>
          </cell>
          <cell r="Z10">
            <v>0</v>
          </cell>
          <cell r="AA10">
            <v>0</v>
          </cell>
          <cell r="AB10">
            <v>1301.5000000000005</v>
          </cell>
          <cell r="AC10">
            <v>300</v>
          </cell>
          <cell r="AD10">
            <v>1644</v>
          </cell>
          <cell r="AE10">
            <v>0</v>
          </cell>
          <cell r="AG10">
            <v>0</v>
          </cell>
          <cell r="AJ10">
            <v>1754.5</v>
          </cell>
          <cell r="AK10">
            <v>26000</v>
          </cell>
          <cell r="AL10">
            <v>2220</v>
          </cell>
          <cell r="AN10">
            <v>138.75</v>
          </cell>
          <cell r="AO10">
            <v>35</v>
          </cell>
          <cell r="AW10">
            <v>2393.75</v>
          </cell>
          <cell r="AX10">
            <v>23606.25</v>
          </cell>
          <cell r="AY10">
            <v>137</v>
          </cell>
          <cell r="AZ10">
            <v>150</v>
          </cell>
          <cell r="BA10">
            <v>150</v>
          </cell>
          <cell r="BB10">
            <v>822</v>
          </cell>
          <cell r="BD10">
            <v>31</v>
          </cell>
          <cell r="BE10">
            <v>31</v>
          </cell>
          <cell r="BF10">
            <v>26</v>
          </cell>
          <cell r="BG10">
            <v>0</v>
          </cell>
          <cell r="BH10">
            <v>0.39583333333333348</v>
          </cell>
          <cell r="BI10">
            <v>13.75</v>
          </cell>
          <cell r="BJ10">
            <v>1.25</v>
          </cell>
          <cell r="BK10">
            <v>0</v>
          </cell>
          <cell r="BN10">
            <v>15</v>
          </cell>
          <cell r="BO10">
            <v>0</v>
          </cell>
          <cell r="BR10">
            <v>0</v>
          </cell>
          <cell r="BS10">
            <v>0</v>
          </cell>
          <cell r="BV10">
            <v>0</v>
          </cell>
          <cell r="BW10">
            <v>5</v>
          </cell>
          <cell r="BX10">
            <v>31</v>
          </cell>
          <cell r="BY10">
            <v>0</v>
          </cell>
          <cell r="BZ10" t="str">
            <v>4Y   Left</v>
          </cell>
          <cell r="CA10">
            <v>24245.5</v>
          </cell>
          <cell r="CB10" t="str">
            <v>101130025306</v>
          </cell>
          <cell r="CC10">
            <v>6927009298</v>
          </cell>
          <cell r="CD10" t="str">
            <v>RJ02 20050130827</v>
          </cell>
          <cell r="CE10">
            <v>26000</v>
          </cell>
          <cell r="CF10">
            <v>2405</v>
          </cell>
          <cell r="CG10">
            <v>601.25</v>
          </cell>
          <cell r="CH10">
            <v>1541.05</v>
          </cell>
          <cell r="CI10">
            <v>453</v>
          </cell>
          <cell r="CJ10">
            <v>0</v>
          </cell>
          <cell r="CK10">
            <v>64</v>
          </cell>
          <cell r="CL10">
            <v>740</v>
          </cell>
          <cell r="CM10">
            <v>31804.3</v>
          </cell>
        </row>
        <row r="11">
          <cell r="D11" t="str">
            <v>0353</v>
          </cell>
          <cell r="E11" t="str">
            <v>SURESH RAM</v>
          </cell>
          <cell r="F11" t="str">
            <v>Driver</v>
          </cell>
          <cell r="G11" t="str">
            <v>Transport</v>
          </cell>
          <cell r="H11" t="str">
            <v>Gurgaon</v>
          </cell>
          <cell r="I11">
            <v>43040</v>
          </cell>
          <cell r="J11" t="str">
            <v>HR/32843/10170</v>
          </cell>
          <cell r="K11" t="str">
            <v>DEMPR1512D</v>
          </cell>
          <cell r="L11" t="str">
            <v>HDFC</v>
          </cell>
          <cell r="M11" t="str">
            <v>50100224987087</v>
          </cell>
          <cell r="N11">
            <v>46239</v>
          </cell>
          <cell r="O11">
            <v>24873</v>
          </cell>
          <cell r="P11">
            <v>18500</v>
          </cell>
          <cell r="Q11">
            <v>6373</v>
          </cell>
          <cell r="V11">
            <v>18500</v>
          </cell>
          <cell r="W11">
            <v>6373</v>
          </cell>
          <cell r="X11">
            <v>0</v>
          </cell>
          <cell r="Y11">
            <v>0</v>
          </cell>
          <cell r="Z11">
            <v>0</v>
          </cell>
          <cell r="AA11">
            <v>0</v>
          </cell>
          <cell r="AB11">
            <v>13848.416666666666</v>
          </cell>
          <cell r="AC11">
            <v>2700</v>
          </cell>
          <cell r="AD11">
            <v>1644</v>
          </cell>
          <cell r="AE11">
            <v>0</v>
          </cell>
          <cell r="AG11">
            <v>500</v>
          </cell>
          <cell r="AK11">
            <v>43565.416666666664</v>
          </cell>
          <cell r="AL11">
            <v>2220</v>
          </cell>
          <cell r="AM11">
            <v>404</v>
          </cell>
          <cell r="AN11">
            <v>138.75</v>
          </cell>
          <cell r="AO11">
            <v>35</v>
          </cell>
          <cell r="AW11">
            <v>2797.75</v>
          </cell>
          <cell r="AX11">
            <v>40767.666666666664</v>
          </cell>
          <cell r="AY11">
            <v>137</v>
          </cell>
          <cell r="AZ11">
            <v>150</v>
          </cell>
          <cell r="BA11">
            <v>150</v>
          </cell>
          <cell r="BB11">
            <v>822</v>
          </cell>
          <cell r="BD11">
            <v>31</v>
          </cell>
          <cell r="BE11">
            <v>31</v>
          </cell>
          <cell r="BF11">
            <v>29</v>
          </cell>
          <cell r="BG11">
            <v>0</v>
          </cell>
          <cell r="BH11">
            <v>4.2118055555555554</v>
          </cell>
          <cell r="BI11">
            <v>3.75</v>
          </cell>
          <cell r="BJ11">
            <v>1.25</v>
          </cell>
          <cell r="BK11">
            <v>0</v>
          </cell>
          <cell r="BN11">
            <v>5</v>
          </cell>
          <cell r="BO11">
            <v>0</v>
          </cell>
          <cell r="BR11">
            <v>0</v>
          </cell>
          <cell r="BS11">
            <v>0</v>
          </cell>
          <cell r="BV11">
            <v>0</v>
          </cell>
          <cell r="BW11">
            <v>2</v>
          </cell>
          <cell r="BX11">
            <v>31</v>
          </cell>
          <cell r="BY11">
            <v>0</v>
          </cell>
          <cell r="BZ11" t="str">
            <v>-2 Days Left</v>
          </cell>
          <cell r="CA11">
            <v>43065.416666666664</v>
          </cell>
          <cell r="CB11" t="str">
            <v>101231411381</v>
          </cell>
          <cell r="CC11">
            <v>6927545429</v>
          </cell>
          <cell r="CD11" t="str">
            <v>UK 0320080009952</v>
          </cell>
          <cell r="CE11">
            <v>43565.416666666664</v>
          </cell>
          <cell r="CF11">
            <v>2405</v>
          </cell>
          <cell r="CG11">
            <v>601.25</v>
          </cell>
          <cell r="CH11">
            <v>1541.05</v>
          </cell>
          <cell r="CI11">
            <v>454</v>
          </cell>
          <cell r="CJ11">
            <v>404</v>
          </cell>
          <cell r="CK11">
            <v>64</v>
          </cell>
          <cell r="CL11">
            <v>740</v>
          </cell>
          <cell r="CM11">
            <v>49774.716666666667</v>
          </cell>
        </row>
        <row r="12">
          <cell r="D12" t="str">
            <v>0193</v>
          </cell>
          <cell r="E12" t="str">
            <v>BASANT RAM</v>
          </cell>
          <cell r="F12" t="str">
            <v>Driver</v>
          </cell>
          <cell r="G12" t="str">
            <v>Transport</v>
          </cell>
          <cell r="H12" t="str">
            <v>Gurgaon</v>
          </cell>
          <cell r="I12">
            <v>43417</v>
          </cell>
          <cell r="J12" t="str">
            <v>HR/32843/10202</v>
          </cell>
          <cell r="K12" t="str">
            <v>BXDPR1175G</v>
          </cell>
          <cell r="L12" t="str">
            <v>HDFC</v>
          </cell>
          <cell r="M12" t="str">
            <v>50100155003666</v>
          </cell>
          <cell r="N12">
            <v>48432</v>
          </cell>
          <cell r="O12">
            <v>21000</v>
          </cell>
          <cell r="P12">
            <v>18500</v>
          </cell>
          <cell r="Q12">
            <v>2500</v>
          </cell>
          <cell r="U12">
            <v>0</v>
          </cell>
          <cell r="V12">
            <v>18500</v>
          </cell>
          <cell r="W12">
            <v>2500</v>
          </cell>
          <cell r="X12">
            <v>0</v>
          </cell>
          <cell r="Y12">
            <v>0</v>
          </cell>
          <cell r="Z12">
            <v>0</v>
          </cell>
          <cell r="AA12">
            <v>0</v>
          </cell>
          <cell r="AB12">
            <v>12889.416666666668</v>
          </cell>
          <cell r="AC12">
            <v>900</v>
          </cell>
          <cell r="AD12">
            <v>2466</v>
          </cell>
          <cell r="AE12">
            <v>0</v>
          </cell>
          <cell r="AG12">
            <v>4500</v>
          </cell>
          <cell r="AK12">
            <v>41755.416666666672</v>
          </cell>
          <cell r="AL12">
            <v>2220</v>
          </cell>
          <cell r="AN12">
            <v>138.75</v>
          </cell>
          <cell r="AO12">
            <v>35</v>
          </cell>
          <cell r="AW12">
            <v>2393.75</v>
          </cell>
          <cell r="AX12">
            <v>39361.666666666672</v>
          </cell>
          <cell r="AY12">
            <v>137</v>
          </cell>
          <cell r="AZ12">
            <v>150</v>
          </cell>
          <cell r="BA12">
            <v>150</v>
          </cell>
          <cell r="BB12">
            <v>822</v>
          </cell>
          <cell r="BD12">
            <v>31</v>
          </cell>
          <cell r="BE12">
            <v>31</v>
          </cell>
          <cell r="BF12">
            <v>30</v>
          </cell>
          <cell r="BG12">
            <v>0</v>
          </cell>
          <cell r="BH12">
            <v>3.9201388888888893</v>
          </cell>
          <cell r="BI12">
            <v>3.75</v>
          </cell>
          <cell r="BJ12">
            <v>1.25</v>
          </cell>
          <cell r="BK12">
            <v>0</v>
          </cell>
          <cell r="BN12">
            <v>5</v>
          </cell>
          <cell r="BO12">
            <v>0</v>
          </cell>
          <cell r="BR12">
            <v>0</v>
          </cell>
          <cell r="BS12">
            <v>0</v>
          </cell>
          <cell r="BV12">
            <v>0</v>
          </cell>
          <cell r="BW12">
            <v>1</v>
          </cell>
          <cell r="BX12">
            <v>31</v>
          </cell>
          <cell r="BY12">
            <v>0</v>
          </cell>
          <cell r="BZ12" t="str">
            <v>5Y   Left</v>
          </cell>
          <cell r="CA12">
            <v>37255.416666666672</v>
          </cell>
          <cell r="CB12" t="str">
            <v>100984782832</v>
          </cell>
          <cell r="CC12">
            <v>6926457576</v>
          </cell>
          <cell r="CD12" t="str">
            <v>UK0320120011472</v>
          </cell>
          <cell r="CE12">
            <v>41755.416666666672</v>
          </cell>
          <cell r="CF12">
            <v>2405</v>
          </cell>
          <cell r="CG12">
            <v>601.25</v>
          </cell>
          <cell r="CH12">
            <v>1541.05</v>
          </cell>
          <cell r="CI12">
            <v>455</v>
          </cell>
          <cell r="CJ12">
            <v>0</v>
          </cell>
          <cell r="CK12">
            <v>64</v>
          </cell>
          <cell r="CL12">
            <v>740</v>
          </cell>
          <cell r="CM12">
            <v>47561.716666666674</v>
          </cell>
        </row>
        <row r="13">
          <cell r="D13" t="str">
            <v>0396</v>
          </cell>
          <cell r="E13" t="str">
            <v>MAHENDRA PRATAP</v>
          </cell>
          <cell r="F13" t="str">
            <v>Driver</v>
          </cell>
          <cell r="G13" t="str">
            <v>Transport</v>
          </cell>
          <cell r="H13" t="str">
            <v>Gurgaon</v>
          </cell>
          <cell r="I13">
            <v>43514</v>
          </cell>
          <cell r="J13" t="str">
            <v>HR/32843/10212</v>
          </cell>
          <cell r="K13" t="str">
            <v>DQOPP8243K</v>
          </cell>
          <cell r="L13" t="str">
            <v>HDFC</v>
          </cell>
          <cell r="M13" t="str">
            <v>50100273817900</v>
          </cell>
          <cell r="N13">
            <v>48262</v>
          </cell>
          <cell r="O13">
            <v>21000</v>
          </cell>
          <cell r="P13">
            <v>18500</v>
          </cell>
          <cell r="Q13">
            <v>2500</v>
          </cell>
          <cell r="U13">
            <v>0</v>
          </cell>
          <cell r="V13">
            <v>18500</v>
          </cell>
          <cell r="W13">
            <v>2500</v>
          </cell>
          <cell r="X13">
            <v>0</v>
          </cell>
          <cell r="Y13">
            <v>0</v>
          </cell>
          <cell r="Z13">
            <v>0</v>
          </cell>
          <cell r="AA13">
            <v>0</v>
          </cell>
          <cell r="AB13">
            <v>5617</v>
          </cell>
          <cell r="AC13">
            <v>900</v>
          </cell>
          <cell r="AD13">
            <v>0</v>
          </cell>
          <cell r="AG13">
            <v>200</v>
          </cell>
          <cell r="AJ13">
            <v>0</v>
          </cell>
          <cell r="AK13">
            <v>27717</v>
          </cell>
          <cell r="AL13">
            <v>2220</v>
          </cell>
          <cell r="AN13">
            <v>138.75</v>
          </cell>
          <cell r="AW13">
            <v>2358.75</v>
          </cell>
          <cell r="AX13">
            <v>25358.25</v>
          </cell>
          <cell r="AY13">
            <v>137</v>
          </cell>
          <cell r="AZ13">
            <v>150</v>
          </cell>
          <cell r="BA13">
            <v>150</v>
          </cell>
          <cell r="BB13">
            <v>822</v>
          </cell>
          <cell r="BD13">
            <v>31</v>
          </cell>
          <cell r="BE13">
            <v>31</v>
          </cell>
          <cell r="BF13">
            <v>27</v>
          </cell>
          <cell r="BG13">
            <v>0</v>
          </cell>
          <cell r="BH13">
            <v>1.7083333333333337</v>
          </cell>
          <cell r="BI13">
            <v>6.75</v>
          </cell>
          <cell r="BJ13">
            <v>1.25</v>
          </cell>
          <cell r="BK13">
            <v>0</v>
          </cell>
          <cell r="BN13">
            <v>8</v>
          </cell>
          <cell r="BO13">
            <v>0</v>
          </cell>
          <cell r="BR13">
            <v>0</v>
          </cell>
          <cell r="BS13">
            <v>0</v>
          </cell>
          <cell r="BV13">
            <v>0</v>
          </cell>
          <cell r="BW13">
            <v>4</v>
          </cell>
          <cell r="BX13">
            <v>31</v>
          </cell>
          <cell r="BY13">
            <v>0</v>
          </cell>
          <cell r="BZ13" t="str">
            <v>5Y   Left</v>
          </cell>
          <cell r="CA13">
            <v>27517</v>
          </cell>
          <cell r="CB13">
            <v>100213990487</v>
          </cell>
          <cell r="CC13">
            <v>6713158696</v>
          </cell>
          <cell r="CD13" t="str">
            <v>UP81-20020004902</v>
          </cell>
          <cell r="CE13">
            <v>27717</v>
          </cell>
          <cell r="CF13">
            <v>2405</v>
          </cell>
          <cell r="CG13">
            <v>601.25</v>
          </cell>
          <cell r="CH13">
            <v>1541.05</v>
          </cell>
          <cell r="CI13">
            <v>456</v>
          </cell>
          <cell r="CJ13">
            <v>0</v>
          </cell>
          <cell r="CK13">
            <v>64</v>
          </cell>
          <cell r="CL13">
            <v>740</v>
          </cell>
          <cell r="CM13">
            <v>33524.300000000003</v>
          </cell>
        </row>
        <row r="14">
          <cell r="D14" t="str">
            <v>0417</v>
          </cell>
          <cell r="E14" t="str">
            <v>DALRAJ SINGH</v>
          </cell>
          <cell r="F14" t="str">
            <v>Driver</v>
          </cell>
          <cell r="G14" t="str">
            <v>Transport</v>
          </cell>
          <cell r="H14" t="str">
            <v>Gurgaon</v>
          </cell>
          <cell r="I14">
            <v>43650</v>
          </cell>
          <cell r="J14" t="str">
            <v>HR/32843/10228</v>
          </cell>
          <cell r="K14" t="str">
            <v>BEEPS2998G</v>
          </cell>
          <cell r="L14" t="str">
            <v>HDFC</v>
          </cell>
          <cell r="M14" t="str">
            <v>50100301150434</v>
          </cell>
          <cell r="N14">
            <v>48214</v>
          </cell>
          <cell r="O14">
            <v>36250</v>
          </cell>
          <cell r="P14">
            <v>18500</v>
          </cell>
          <cell r="Q14">
            <v>9250</v>
          </cell>
          <cell r="R14">
            <v>6500</v>
          </cell>
          <cell r="S14">
            <v>2000</v>
          </cell>
          <cell r="U14">
            <v>0</v>
          </cell>
          <cell r="V14">
            <v>18500</v>
          </cell>
          <cell r="W14">
            <v>9250</v>
          </cell>
          <cell r="X14">
            <v>6500</v>
          </cell>
          <cell r="Y14">
            <v>2000</v>
          </cell>
          <cell r="Z14">
            <v>0</v>
          </cell>
          <cell r="AA14">
            <v>0</v>
          </cell>
          <cell r="AB14">
            <v>0</v>
          </cell>
          <cell r="AC14">
            <v>0</v>
          </cell>
          <cell r="AD14">
            <v>0</v>
          </cell>
          <cell r="AE14">
            <v>0</v>
          </cell>
          <cell r="AG14">
            <v>0</v>
          </cell>
          <cell r="AJ14">
            <v>0</v>
          </cell>
          <cell r="AK14">
            <v>36250</v>
          </cell>
          <cell r="AL14">
            <v>2220</v>
          </cell>
          <cell r="AN14">
            <v>138.75</v>
          </cell>
          <cell r="AO14">
            <v>35</v>
          </cell>
          <cell r="AW14">
            <v>2393.75</v>
          </cell>
          <cell r="AX14">
            <v>33856.25</v>
          </cell>
          <cell r="AY14">
            <v>137</v>
          </cell>
          <cell r="AZ14">
            <v>150</v>
          </cell>
          <cell r="BA14">
            <v>150</v>
          </cell>
          <cell r="BB14">
            <v>822</v>
          </cell>
          <cell r="BD14">
            <v>31</v>
          </cell>
          <cell r="BE14">
            <v>31</v>
          </cell>
          <cell r="BF14">
            <v>27</v>
          </cell>
          <cell r="BG14">
            <v>0</v>
          </cell>
          <cell r="BH14">
            <v>0</v>
          </cell>
          <cell r="BI14">
            <v>13.75</v>
          </cell>
          <cell r="BJ14">
            <v>1.25</v>
          </cell>
          <cell r="BK14">
            <v>0</v>
          </cell>
          <cell r="BN14">
            <v>15</v>
          </cell>
          <cell r="BO14">
            <v>0</v>
          </cell>
          <cell r="BR14">
            <v>0</v>
          </cell>
          <cell r="BS14">
            <v>0</v>
          </cell>
          <cell r="BV14">
            <v>0</v>
          </cell>
          <cell r="BW14">
            <v>4</v>
          </cell>
          <cell r="BX14">
            <v>31</v>
          </cell>
          <cell r="BY14">
            <v>0</v>
          </cell>
          <cell r="BZ14" t="str">
            <v>5Y   Left</v>
          </cell>
          <cell r="CA14">
            <v>36250</v>
          </cell>
          <cell r="CB14" t="str">
            <v>101186205604</v>
          </cell>
          <cell r="CC14" t="str">
            <v>2015446540</v>
          </cell>
          <cell r="CD14" t="str">
            <v>DL04 20070253444</v>
          </cell>
          <cell r="CE14">
            <v>36250</v>
          </cell>
          <cell r="CF14">
            <v>2405</v>
          </cell>
          <cell r="CG14">
            <v>601.25</v>
          </cell>
          <cell r="CH14">
            <v>1541.05</v>
          </cell>
          <cell r="CI14">
            <v>457</v>
          </cell>
          <cell r="CJ14">
            <v>0</v>
          </cell>
          <cell r="CK14">
            <v>64</v>
          </cell>
          <cell r="CL14">
            <v>740</v>
          </cell>
          <cell r="CM14">
            <v>42058.3</v>
          </cell>
        </row>
        <row r="15">
          <cell r="D15" t="str">
            <v>0453</v>
          </cell>
          <cell r="E15" t="str">
            <v>DINESH KUMAR YADAV</v>
          </cell>
          <cell r="F15" t="str">
            <v>Driver</v>
          </cell>
          <cell r="G15" t="str">
            <v>Transport</v>
          </cell>
          <cell r="H15" t="str">
            <v>Gurgaon</v>
          </cell>
          <cell r="I15">
            <v>43796</v>
          </cell>
          <cell r="J15" t="str">
            <v>HR/32843/10237</v>
          </cell>
          <cell r="K15" t="str">
            <v>AVRPY8384K</v>
          </cell>
          <cell r="L15" t="str">
            <v>HDFC</v>
          </cell>
          <cell r="M15" t="str">
            <v>50100325449979</v>
          </cell>
          <cell r="N15">
            <v>47336</v>
          </cell>
          <cell r="O15">
            <v>25931</v>
          </cell>
          <cell r="P15">
            <v>18500</v>
          </cell>
          <cell r="Q15">
            <v>7431</v>
          </cell>
          <cell r="V15">
            <v>18500</v>
          </cell>
          <cell r="W15">
            <v>7431</v>
          </cell>
          <cell r="X15">
            <v>0</v>
          </cell>
          <cell r="Y15">
            <v>0</v>
          </cell>
          <cell r="Z15">
            <v>0</v>
          </cell>
          <cell r="AA15">
            <v>0</v>
          </cell>
          <cell r="AB15">
            <v>6884.2499999999982</v>
          </cell>
          <cell r="AC15">
            <v>150</v>
          </cell>
          <cell r="AD15">
            <v>3288</v>
          </cell>
          <cell r="AG15">
            <v>0</v>
          </cell>
          <cell r="AK15">
            <v>36253.25</v>
          </cell>
          <cell r="AL15">
            <v>2220</v>
          </cell>
          <cell r="AM15">
            <v>404</v>
          </cell>
          <cell r="AN15">
            <v>138.75</v>
          </cell>
          <cell r="AO15">
            <v>35</v>
          </cell>
          <cell r="AW15">
            <v>2797.75</v>
          </cell>
          <cell r="AX15">
            <v>33455.5</v>
          </cell>
          <cell r="AY15">
            <v>137</v>
          </cell>
          <cell r="AZ15">
            <v>150</v>
          </cell>
          <cell r="BA15">
            <v>150</v>
          </cell>
          <cell r="BB15">
            <v>822</v>
          </cell>
          <cell r="BD15">
            <v>31</v>
          </cell>
          <cell r="BE15">
            <v>31</v>
          </cell>
          <cell r="BF15">
            <v>29</v>
          </cell>
          <cell r="BG15">
            <v>0</v>
          </cell>
          <cell r="BH15">
            <v>2.0937499999999991</v>
          </cell>
          <cell r="BI15">
            <v>3.75</v>
          </cell>
          <cell r="BJ15">
            <v>1.25</v>
          </cell>
          <cell r="BK15">
            <v>1</v>
          </cell>
          <cell r="BN15">
            <v>4</v>
          </cell>
          <cell r="BO15">
            <v>0</v>
          </cell>
          <cell r="BR15">
            <v>0</v>
          </cell>
          <cell r="BS15">
            <v>0</v>
          </cell>
          <cell r="BV15">
            <v>0</v>
          </cell>
          <cell r="BW15">
            <v>1</v>
          </cell>
          <cell r="BX15">
            <v>31</v>
          </cell>
          <cell r="BY15">
            <v>0</v>
          </cell>
          <cell r="BZ15" t="str">
            <v>2Y   Left</v>
          </cell>
          <cell r="CA15">
            <v>36253.25</v>
          </cell>
          <cell r="CB15" t="str">
            <v>10152835 225</v>
          </cell>
          <cell r="CC15">
            <v>6929665749</v>
          </cell>
          <cell r="CD15" t="str">
            <v>RJ02A20090001882</v>
          </cell>
          <cell r="CE15">
            <v>36253.25</v>
          </cell>
          <cell r="CF15">
            <v>2405</v>
          </cell>
          <cell r="CG15">
            <v>601.25</v>
          </cell>
          <cell r="CH15">
            <v>1541.05</v>
          </cell>
          <cell r="CI15">
            <v>459</v>
          </cell>
          <cell r="CJ15">
            <v>404</v>
          </cell>
          <cell r="CK15">
            <v>64</v>
          </cell>
          <cell r="CL15">
            <v>740</v>
          </cell>
          <cell r="CM15">
            <v>42467.55</v>
          </cell>
        </row>
        <row r="16">
          <cell r="D16" t="str">
            <v>0328</v>
          </cell>
          <cell r="E16" t="str">
            <v>MADAN LAL BHARGAV</v>
          </cell>
          <cell r="F16" t="str">
            <v>Driver</v>
          </cell>
          <cell r="G16" t="str">
            <v>Transport</v>
          </cell>
          <cell r="H16" t="str">
            <v>Gurgaon</v>
          </cell>
          <cell r="I16">
            <v>42798</v>
          </cell>
          <cell r="J16" t="str">
            <v>HR/32843/10148</v>
          </cell>
          <cell r="K16" t="str">
            <v>CZWPB9859B</v>
          </cell>
          <cell r="L16" t="str">
            <v>HDFC</v>
          </cell>
          <cell r="M16" t="str">
            <v>50100212290945</v>
          </cell>
          <cell r="N16">
            <v>47678</v>
          </cell>
          <cell r="O16">
            <v>21000</v>
          </cell>
          <cell r="P16">
            <v>18500</v>
          </cell>
          <cell r="Q16">
            <v>2500</v>
          </cell>
          <cell r="U16">
            <v>0</v>
          </cell>
          <cell r="V16">
            <v>18500</v>
          </cell>
          <cell r="W16">
            <v>2500</v>
          </cell>
          <cell r="X16">
            <v>0</v>
          </cell>
          <cell r="Y16">
            <v>0</v>
          </cell>
          <cell r="Z16">
            <v>0</v>
          </cell>
          <cell r="AA16">
            <v>0</v>
          </cell>
          <cell r="AB16">
            <v>9042</v>
          </cell>
          <cell r="AC16">
            <v>1200</v>
          </cell>
          <cell r="AD16">
            <v>2466</v>
          </cell>
          <cell r="AE16">
            <v>0</v>
          </cell>
          <cell r="AK16">
            <v>33708</v>
          </cell>
          <cell r="AL16">
            <v>2220</v>
          </cell>
          <cell r="AN16">
            <v>138.75</v>
          </cell>
          <cell r="AO16">
            <v>35</v>
          </cell>
          <cell r="AT16">
            <v>5000</v>
          </cell>
          <cell r="AW16">
            <v>7393.75</v>
          </cell>
          <cell r="AX16">
            <v>26314.25</v>
          </cell>
          <cell r="AY16">
            <v>137</v>
          </cell>
          <cell r="AZ16">
            <v>150</v>
          </cell>
          <cell r="BA16">
            <v>150</v>
          </cell>
          <cell r="BB16">
            <v>822</v>
          </cell>
          <cell r="BD16">
            <v>31</v>
          </cell>
          <cell r="BE16">
            <v>31</v>
          </cell>
          <cell r="BF16">
            <v>30</v>
          </cell>
          <cell r="BG16">
            <v>0</v>
          </cell>
          <cell r="BH16">
            <v>2.7499999999999991</v>
          </cell>
          <cell r="BI16">
            <v>1.25</v>
          </cell>
          <cell r="BJ16">
            <v>1.25</v>
          </cell>
          <cell r="BK16">
            <v>0</v>
          </cell>
          <cell r="BN16">
            <v>2.5</v>
          </cell>
          <cell r="BO16">
            <v>0</v>
          </cell>
          <cell r="BR16">
            <v>0</v>
          </cell>
          <cell r="BS16">
            <v>0</v>
          </cell>
          <cell r="BV16">
            <v>0</v>
          </cell>
          <cell r="BW16">
            <v>1</v>
          </cell>
          <cell r="BX16">
            <v>31</v>
          </cell>
          <cell r="BY16">
            <v>0</v>
          </cell>
          <cell r="BZ16" t="str">
            <v>3Y   Left</v>
          </cell>
          <cell r="CA16">
            <v>33708</v>
          </cell>
          <cell r="CB16" t="str">
            <v>10106 768974</v>
          </cell>
          <cell r="CC16">
            <v>6926702298</v>
          </cell>
          <cell r="CD16" t="str">
            <v>RJ02A20090001882</v>
          </cell>
          <cell r="CE16">
            <v>33708</v>
          </cell>
          <cell r="CF16">
            <v>2405</v>
          </cell>
          <cell r="CG16">
            <v>601.25</v>
          </cell>
          <cell r="CH16">
            <v>1541.05</v>
          </cell>
          <cell r="CI16">
            <v>460</v>
          </cell>
          <cell r="CJ16">
            <v>0</v>
          </cell>
          <cell r="CK16">
            <v>65</v>
          </cell>
          <cell r="CL16">
            <v>740</v>
          </cell>
          <cell r="CM16">
            <v>39520.300000000003</v>
          </cell>
        </row>
        <row r="17">
          <cell r="D17" t="str">
            <v>0182</v>
          </cell>
          <cell r="E17" t="str">
            <v>RAKESH</v>
          </cell>
          <cell r="F17" t="str">
            <v>Driver</v>
          </cell>
          <cell r="G17" t="str">
            <v>Transport</v>
          </cell>
          <cell r="H17" t="str">
            <v>Gurgaon</v>
          </cell>
          <cell r="I17">
            <v>42844</v>
          </cell>
          <cell r="J17" t="str">
            <v>HR/32843/0095</v>
          </cell>
          <cell r="K17" t="str">
            <v>CTKPR9029P</v>
          </cell>
          <cell r="L17" t="str">
            <v>HDFC</v>
          </cell>
          <cell r="M17" t="str">
            <v>50100203589876</v>
          </cell>
          <cell r="N17">
            <v>50040</v>
          </cell>
          <cell r="O17">
            <v>21000</v>
          </cell>
          <cell r="P17">
            <v>18500</v>
          </cell>
          <cell r="Q17">
            <v>2500</v>
          </cell>
          <cell r="U17">
            <v>0</v>
          </cell>
          <cell r="V17">
            <v>18500</v>
          </cell>
          <cell r="W17">
            <v>2500</v>
          </cell>
          <cell r="X17">
            <v>0</v>
          </cell>
          <cell r="Y17">
            <v>0</v>
          </cell>
          <cell r="Z17">
            <v>0</v>
          </cell>
          <cell r="AA17">
            <v>0</v>
          </cell>
          <cell r="AB17">
            <v>6096.5000000000018</v>
          </cell>
          <cell r="AC17">
            <v>1050</v>
          </cell>
          <cell r="AD17">
            <v>0</v>
          </cell>
          <cell r="AE17">
            <v>0</v>
          </cell>
          <cell r="AG17">
            <v>0</v>
          </cell>
          <cell r="AJ17">
            <v>0</v>
          </cell>
          <cell r="AK17">
            <v>28146.5</v>
          </cell>
          <cell r="AL17">
            <v>2220</v>
          </cell>
          <cell r="AN17">
            <v>138.75</v>
          </cell>
          <cell r="AO17">
            <v>35</v>
          </cell>
          <cell r="AW17">
            <v>2393.75</v>
          </cell>
          <cell r="AX17">
            <v>25752.75</v>
          </cell>
          <cell r="AY17">
            <v>137</v>
          </cell>
          <cell r="AZ17">
            <v>150</v>
          </cell>
          <cell r="BA17">
            <v>150</v>
          </cell>
          <cell r="BB17">
            <v>822</v>
          </cell>
          <cell r="BD17">
            <v>31</v>
          </cell>
          <cell r="BE17">
            <v>31</v>
          </cell>
          <cell r="BF17">
            <v>22</v>
          </cell>
          <cell r="BG17">
            <v>0</v>
          </cell>
          <cell r="BH17">
            <v>1.854166666666667</v>
          </cell>
          <cell r="BI17">
            <v>11</v>
          </cell>
          <cell r="BJ17">
            <v>1.25</v>
          </cell>
          <cell r="BK17">
            <v>2</v>
          </cell>
          <cell r="BN17">
            <v>10.25</v>
          </cell>
          <cell r="BO17">
            <v>0</v>
          </cell>
          <cell r="BR17">
            <v>0</v>
          </cell>
          <cell r="BS17">
            <v>0</v>
          </cell>
          <cell r="BV17">
            <v>0</v>
          </cell>
          <cell r="BW17">
            <v>7</v>
          </cell>
          <cell r="BX17">
            <v>31</v>
          </cell>
          <cell r="BY17">
            <v>0</v>
          </cell>
          <cell r="BZ17" t="str">
            <v>10Y   Left</v>
          </cell>
          <cell r="CA17">
            <v>28146.5</v>
          </cell>
          <cell r="CB17" t="str">
            <v>100936613273</v>
          </cell>
          <cell r="CC17">
            <v>6924188889</v>
          </cell>
          <cell r="CD17" t="str">
            <v>OLA:HR6620100203850 /28-06-19</v>
          </cell>
          <cell r="CE17">
            <v>28146.5</v>
          </cell>
          <cell r="CF17">
            <v>2405</v>
          </cell>
          <cell r="CG17">
            <v>601.25</v>
          </cell>
          <cell r="CH17">
            <v>1541.05</v>
          </cell>
          <cell r="CI17">
            <v>461</v>
          </cell>
          <cell r="CJ17">
            <v>0</v>
          </cell>
          <cell r="CK17">
            <v>64</v>
          </cell>
          <cell r="CL17">
            <v>740</v>
          </cell>
          <cell r="CM17">
            <v>33958.800000000003</v>
          </cell>
        </row>
        <row r="18">
          <cell r="D18" t="str">
            <v>0467</v>
          </cell>
          <cell r="E18" t="str">
            <v>SURENDRA SINGH YADAV</v>
          </cell>
          <cell r="F18" t="str">
            <v>Driver</v>
          </cell>
          <cell r="G18" t="str">
            <v>Transport</v>
          </cell>
          <cell r="H18" t="str">
            <v>Gurgaon</v>
          </cell>
          <cell r="I18">
            <v>44676</v>
          </cell>
          <cell r="J18" t="str">
            <v>HR/32843/10339</v>
          </cell>
          <cell r="K18" t="str">
            <v>APQPY2250M</v>
          </cell>
          <cell r="L18" t="str">
            <v>HDFC</v>
          </cell>
          <cell r="M18" t="str">
            <v>50100431212318</v>
          </cell>
          <cell r="N18">
            <v>46276</v>
          </cell>
          <cell r="O18">
            <v>21000</v>
          </cell>
          <cell r="P18">
            <v>18500</v>
          </cell>
          <cell r="Q18">
            <v>2500</v>
          </cell>
          <cell r="U18">
            <v>0</v>
          </cell>
          <cell r="V18">
            <v>18500</v>
          </cell>
          <cell r="W18">
            <v>2500</v>
          </cell>
          <cell r="X18">
            <v>0</v>
          </cell>
          <cell r="Y18">
            <v>0</v>
          </cell>
          <cell r="Z18">
            <v>0</v>
          </cell>
          <cell r="AA18">
            <v>0</v>
          </cell>
          <cell r="AB18">
            <v>10288.700000000006</v>
          </cell>
          <cell r="AC18">
            <v>1200</v>
          </cell>
          <cell r="AD18">
            <v>2466</v>
          </cell>
          <cell r="AE18">
            <v>2466</v>
          </cell>
          <cell r="AG18">
            <v>3300</v>
          </cell>
          <cell r="AJ18">
            <v>0</v>
          </cell>
          <cell r="AK18">
            <v>40720.700000000004</v>
          </cell>
          <cell r="AL18">
            <v>2220</v>
          </cell>
          <cell r="AN18">
            <v>138.75</v>
          </cell>
          <cell r="AO18">
            <v>35</v>
          </cell>
          <cell r="AW18">
            <v>2393.75</v>
          </cell>
          <cell r="AX18">
            <v>38326.950000000004</v>
          </cell>
          <cell r="AY18">
            <v>137</v>
          </cell>
          <cell r="AZ18">
            <v>150</v>
          </cell>
          <cell r="BA18">
            <v>150</v>
          </cell>
          <cell r="BB18">
            <v>822</v>
          </cell>
          <cell r="BD18">
            <v>31</v>
          </cell>
          <cell r="BE18">
            <v>31</v>
          </cell>
          <cell r="BF18">
            <v>28</v>
          </cell>
          <cell r="BG18">
            <v>0</v>
          </cell>
          <cell r="BH18">
            <v>3.1291666666666669</v>
          </cell>
          <cell r="BI18">
            <v>13.75</v>
          </cell>
          <cell r="BJ18">
            <v>1.25</v>
          </cell>
          <cell r="BK18">
            <v>0</v>
          </cell>
          <cell r="BN18">
            <v>15</v>
          </cell>
          <cell r="BO18">
            <v>0</v>
          </cell>
          <cell r="BR18">
            <v>0</v>
          </cell>
          <cell r="BS18">
            <v>0</v>
          </cell>
          <cell r="BV18">
            <v>0</v>
          </cell>
          <cell r="BW18">
            <v>3</v>
          </cell>
          <cell r="BX18">
            <v>31</v>
          </cell>
          <cell r="BY18">
            <v>0</v>
          </cell>
          <cell r="BZ18" t="str">
            <v>35 Days Left</v>
          </cell>
          <cell r="CA18">
            <v>34954.700000000004</v>
          </cell>
          <cell r="CB18" t="str">
            <v>101182814266</v>
          </cell>
          <cell r="CC18">
            <v>6927275482</v>
          </cell>
          <cell r="CD18" t="str">
            <v>RJ02 20060158051</v>
          </cell>
          <cell r="CE18">
            <v>40720.700000000004</v>
          </cell>
          <cell r="CF18">
            <v>2405</v>
          </cell>
          <cell r="CG18">
            <v>601.25</v>
          </cell>
          <cell r="CH18">
            <v>1541.05</v>
          </cell>
          <cell r="CI18">
            <v>462</v>
          </cell>
          <cell r="CJ18">
            <v>0</v>
          </cell>
          <cell r="CK18">
            <v>64</v>
          </cell>
          <cell r="CL18">
            <v>740</v>
          </cell>
          <cell r="CM18">
            <v>46534.000000000007</v>
          </cell>
        </row>
        <row r="19">
          <cell r="D19" t="str">
            <v>0468</v>
          </cell>
          <cell r="E19" t="str">
            <v>SURENDER SINGH RAWAT</v>
          </cell>
          <cell r="F19" t="str">
            <v>Driver</v>
          </cell>
          <cell r="G19" t="str">
            <v>Transport</v>
          </cell>
          <cell r="H19" t="str">
            <v>Gurgaon</v>
          </cell>
          <cell r="I19">
            <v>44692</v>
          </cell>
          <cell r="J19" t="str">
            <v>HR/32843/10341</v>
          </cell>
          <cell r="K19" t="str">
            <v>AIXPR56629K</v>
          </cell>
          <cell r="L19" t="str">
            <v>HDFC</v>
          </cell>
          <cell r="M19" t="str">
            <v>50100542692251</v>
          </cell>
          <cell r="N19" t="str">
            <v>08-01-2030</v>
          </cell>
          <cell r="O19">
            <v>21000</v>
          </cell>
          <cell r="P19">
            <v>18500</v>
          </cell>
          <cell r="Q19">
            <v>2500</v>
          </cell>
          <cell r="U19">
            <v>0</v>
          </cell>
          <cell r="V19">
            <v>18500</v>
          </cell>
          <cell r="W19">
            <v>2500</v>
          </cell>
          <cell r="X19">
            <v>0</v>
          </cell>
          <cell r="Y19">
            <v>0</v>
          </cell>
          <cell r="Z19">
            <v>0</v>
          </cell>
          <cell r="AA19">
            <v>0</v>
          </cell>
          <cell r="AB19">
            <v>5986.8999999999987</v>
          </cell>
          <cell r="AC19">
            <v>300</v>
          </cell>
          <cell r="AD19">
            <v>1644</v>
          </cell>
          <cell r="AJ19">
            <v>3969.1000000000022</v>
          </cell>
          <cell r="AK19">
            <v>32900</v>
          </cell>
          <cell r="AL19">
            <v>2220</v>
          </cell>
          <cell r="AM19" t="str">
            <v xml:space="preserve"> </v>
          </cell>
          <cell r="AN19">
            <v>138.75</v>
          </cell>
          <cell r="AO19">
            <v>35</v>
          </cell>
          <cell r="AW19">
            <v>2393.75</v>
          </cell>
          <cell r="AX19">
            <v>30506.25</v>
          </cell>
          <cell r="AY19">
            <v>137</v>
          </cell>
          <cell r="AZ19">
            <v>150</v>
          </cell>
          <cell r="BA19">
            <v>150</v>
          </cell>
          <cell r="BB19">
            <v>822</v>
          </cell>
          <cell r="BD19">
            <v>31</v>
          </cell>
          <cell r="BE19">
            <v>31</v>
          </cell>
          <cell r="BF19">
            <v>29</v>
          </cell>
          <cell r="BG19">
            <v>0</v>
          </cell>
          <cell r="BH19">
            <v>1.8208333333333329</v>
          </cell>
          <cell r="BI19">
            <v>0.25</v>
          </cell>
          <cell r="BJ19">
            <v>1.25</v>
          </cell>
          <cell r="BK19">
            <v>0</v>
          </cell>
          <cell r="BN19">
            <v>1.5</v>
          </cell>
          <cell r="BO19">
            <v>0</v>
          </cell>
          <cell r="BR19">
            <v>0</v>
          </cell>
          <cell r="BS19">
            <v>0</v>
          </cell>
          <cell r="BV19">
            <v>0</v>
          </cell>
          <cell r="BW19">
            <v>2</v>
          </cell>
          <cell r="BX19">
            <v>31</v>
          </cell>
          <cell r="BY19">
            <v>0</v>
          </cell>
          <cell r="BZ19" t="str">
            <v>3Y   Left</v>
          </cell>
          <cell r="CA19">
            <v>28930.899999999998</v>
          </cell>
          <cell r="CB19" t="str">
            <v>100067197878</v>
          </cell>
          <cell r="CC19">
            <v>6923865911</v>
          </cell>
          <cell r="CD19" t="str">
            <v>DL0719930051101</v>
          </cell>
          <cell r="CE19">
            <v>32900</v>
          </cell>
          <cell r="CF19">
            <v>2405</v>
          </cell>
          <cell r="CG19">
            <v>601.25</v>
          </cell>
          <cell r="CH19">
            <v>1541.05</v>
          </cell>
          <cell r="CI19">
            <v>463</v>
          </cell>
          <cell r="CJ19" t="str">
            <v xml:space="preserve"> </v>
          </cell>
          <cell r="CK19">
            <v>64</v>
          </cell>
          <cell r="CL19">
            <v>740</v>
          </cell>
          <cell r="CM19">
            <v>38714.300000000003</v>
          </cell>
        </row>
        <row r="20">
          <cell r="D20" t="str">
            <v>0472</v>
          </cell>
          <cell r="E20" t="str">
            <v>CHANDAN</v>
          </cell>
          <cell r="F20" t="str">
            <v>Driver</v>
          </cell>
          <cell r="G20" t="str">
            <v>Transport</v>
          </cell>
          <cell r="H20" t="str">
            <v>Gurgaon</v>
          </cell>
          <cell r="I20">
            <v>44713</v>
          </cell>
          <cell r="J20" t="str">
            <v>HR/32843/10346</v>
          </cell>
          <cell r="K20" t="str">
            <v>HGTES6559A</v>
          </cell>
          <cell r="L20" t="str">
            <v>HDFC</v>
          </cell>
          <cell r="M20" t="str">
            <v>50100521051891</v>
          </cell>
          <cell r="N20" t="str">
            <v>07-07-2029</v>
          </cell>
          <cell r="O20">
            <v>25931</v>
          </cell>
          <cell r="P20">
            <v>18500</v>
          </cell>
          <cell r="Q20">
            <v>7431</v>
          </cell>
          <cell r="V20">
            <v>18500</v>
          </cell>
          <cell r="W20">
            <v>7431</v>
          </cell>
          <cell r="X20">
            <v>0</v>
          </cell>
          <cell r="Y20">
            <v>0</v>
          </cell>
          <cell r="Z20">
            <v>0</v>
          </cell>
          <cell r="AA20">
            <v>0</v>
          </cell>
          <cell r="AB20">
            <v>10612.933333333334</v>
          </cell>
          <cell r="AC20">
            <v>750</v>
          </cell>
          <cell r="AD20">
            <v>2466</v>
          </cell>
          <cell r="AE20">
            <v>0</v>
          </cell>
          <cell r="AG20">
            <v>0</v>
          </cell>
          <cell r="AK20">
            <v>39759.933333333334</v>
          </cell>
          <cell r="AL20">
            <v>2220</v>
          </cell>
          <cell r="AN20">
            <v>138.75</v>
          </cell>
          <cell r="AO20">
            <v>35</v>
          </cell>
          <cell r="AW20">
            <v>2393.75</v>
          </cell>
          <cell r="AX20">
            <v>37366.183333333334</v>
          </cell>
          <cell r="AY20">
            <v>137</v>
          </cell>
          <cell r="AZ20">
            <v>150</v>
          </cell>
          <cell r="BA20">
            <v>150</v>
          </cell>
          <cell r="BB20">
            <v>822</v>
          </cell>
          <cell r="BD20">
            <v>31</v>
          </cell>
          <cell r="BE20">
            <v>31</v>
          </cell>
          <cell r="BF20">
            <v>30</v>
          </cell>
          <cell r="BG20">
            <v>0</v>
          </cell>
          <cell r="BH20">
            <v>3.2277777777777779</v>
          </cell>
          <cell r="BI20">
            <v>3.75</v>
          </cell>
          <cell r="BJ20">
            <v>1.25</v>
          </cell>
          <cell r="BK20">
            <v>0</v>
          </cell>
          <cell r="BN20">
            <v>5</v>
          </cell>
          <cell r="BO20">
            <v>0</v>
          </cell>
          <cell r="BR20">
            <v>0</v>
          </cell>
          <cell r="BS20">
            <v>0</v>
          </cell>
          <cell r="BV20">
            <v>0</v>
          </cell>
          <cell r="BW20">
            <v>1</v>
          </cell>
          <cell r="BX20">
            <v>31</v>
          </cell>
          <cell r="BY20">
            <v>0</v>
          </cell>
          <cell r="BZ20" t="str">
            <v>2Y   Left</v>
          </cell>
          <cell r="CA20">
            <v>39759.933333333334</v>
          </cell>
          <cell r="CB20">
            <v>101665260782</v>
          </cell>
          <cell r="CC20" t="str">
            <v>6932439397</v>
          </cell>
          <cell r="CD20" t="str">
            <v>UK04-20090017896</v>
          </cell>
          <cell r="CE20">
            <v>39759.933333333334</v>
          </cell>
          <cell r="CF20">
            <v>2405</v>
          </cell>
          <cell r="CG20">
            <v>601.25</v>
          </cell>
          <cell r="CH20">
            <v>1541.05</v>
          </cell>
          <cell r="CI20">
            <v>464</v>
          </cell>
          <cell r="CJ20">
            <v>0</v>
          </cell>
          <cell r="CK20">
            <v>64</v>
          </cell>
          <cell r="CL20">
            <v>740</v>
          </cell>
          <cell r="CM20">
            <v>45575.233333333337</v>
          </cell>
        </row>
        <row r="21">
          <cell r="D21" t="str">
            <v>1003</v>
          </cell>
          <cell r="E21" t="str">
            <v>ASHWANI</v>
          </cell>
          <cell r="F21" t="str">
            <v>Driver</v>
          </cell>
          <cell r="G21" t="str">
            <v>Transport</v>
          </cell>
          <cell r="H21" t="str">
            <v>Gurgaon</v>
          </cell>
          <cell r="I21">
            <v>44719</v>
          </cell>
          <cell r="J21" t="str">
            <v>HR/32843/10448</v>
          </cell>
          <cell r="K21" t="str">
            <v>HYBPK7739C</v>
          </cell>
          <cell r="L21" t="str">
            <v>HDFC</v>
          </cell>
          <cell r="M21" t="str">
            <v>50100555764085</v>
          </cell>
          <cell r="N21">
            <v>49791</v>
          </cell>
          <cell r="O21">
            <v>21000</v>
          </cell>
          <cell r="P21">
            <v>18500</v>
          </cell>
          <cell r="Q21">
            <v>2500</v>
          </cell>
          <cell r="U21">
            <v>0</v>
          </cell>
          <cell r="V21">
            <v>2984</v>
          </cell>
          <cell r="W21">
            <v>403</v>
          </cell>
          <cell r="X21">
            <v>0</v>
          </cell>
          <cell r="Y21">
            <v>0</v>
          </cell>
          <cell r="Z21">
            <v>0</v>
          </cell>
          <cell r="AA21">
            <v>0</v>
          </cell>
          <cell r="AB21">
            <v>1918.0000000000005</v>
          </cell>
          <cell r="AC21">
            <v>0</v>
          </cell>
          <cell r="AD21">
            <v>0</v>
          </cell>
          <cell r="AE21">
            <v>0</v>
          </cell>
          <cell r="AG21">
            <v>0</v>
          </cell>
          <cell r="AK21">
            <v>5305</v>
          </cell>
          <cell r="AL21">
            <v>358</v>
          </cell>
          <cell r="AN21">
            <v>22.38</v>
          </cell>
          <cell r="AO21">
            <v>10.61</v>
          </cell>
          <cell r="AW21">
            <v>390.99</v>
          </cell>
          <cell r="AX21">
            <v>4914.01</v>
          </cell>
          <cell r="AY21">
            <v>137</v>
          </cell>
          <cell r="AZ21">
            <v>150</v>
          </cell>
          <cell r="BA21">
            <v>150</v>
          </cell>
          <cell r="BB21">
            <v>822</v>
          </cell>
          <cell r="BD21">
            <v>31</v>
          </cell>
          <cell r="BE21">
            <v>5</v>
          </cell>
          <cell r="BF21">
            <v>4</v>
          </cell>
          <cell r="BG21">
            <v>26</v>
          </cell>
          <cell r="BH21">
            <v>0.58333333333333348</v>
          </cell>
          <cell r="BI21">
            <v>6</v>
          </cell>
          <cell r="BJ21">
            <v>0</v>
          </cell>
          <cell r="BK21">
            <v>0</v>
          </cell>
          <cell r="BN21">
            <v>6</v>
          </cell>
          <cell r="BO21">
            <v>0</v>
          </cell>
          <cell r="BR21">
            <v>0</v>
          </cell>
          <cell r="BS21">
            <v>0</v>
          </cell>
          <cell r="BV21">
            <v>0</v>
          </cell>
          <cell r="BW21">
            <v>1</v>
          </cell>
          <cell r="BX21">
            <v>5</v>
          </cell>
          <cell r="BY21">
            <v>26</v>
          </cell>
          <cell r="BZ21" t="str">
            <v>9Y   Left</v>
          </cell>
          <cell r="CA21">
            <v>5305</v>
          </cell>
          <cell r="CB21">
            <v>101838430714</v>
          </cell>
          <cell r="CC21">
            <v>6932488447</v>
          </cell>
          <cell r="CD21" t="str">
            <v>HP2020060039634</v>
          </cell>
          <cell r="CE21">
            <v>5305</v>
          </cell>
          <cell r="CF21">
            <v>387.92</v>
          </cell>
          <cell r="CG21">
            <v>96.98</v>
          </cell>
          <cell r="CH21">
            <v>248.56719999999999</v>
          </cell>
          <cell r="CI21">
            <v>465</v>
          </cell>
          <cell r="CJ21">
            <v>0</v>
          </cell>
          <cell r="CK21">
            <v>64</v>
          </cell>
          <cell r="CL21">
            <v>119.36</v>
          </cell>
          <cell r="CM21">
            <v>6686.8271999999997</v>
          </cell>
        </row>
        <row r="22">
          <cell r="D22" t="str">
            <v>1007</v>
          </cell>
          <cell r="E22" t="str">
            <v>RAKESH TAMTA</v>
          </cell>
          <cell r="F22" t="str">
            <v>Driver</v>
          </cell>
          <cell r="G22" t="str">
            <v>Transport</v>
          </cell>
          <cell r="H22" t="str">
            <v>Gurgaon</v>
          </cell>
          <cell r="I22">
            <v>44880</v>
          </cell>
          <cell r="J22" t="str">
            <v>HR/32843/10513</v>
          </cell>
          <cell r="K22" t="str">
            <v>CJOPT5546B</v>
          </cell>
          <cell r="L22" t="str">
            <v>HDFC</v>
          </cell>
          <cell r="M22" t="str">
            <v>50100448334476</v>
          </cell>
          <cell r="N22" t="str">
            <v>26-01-2034</v>
          </cell>
          <cell r="O22">
            <v>21000</v>
          </cell>
          <cell r="P22">
            <v>18500</v>
          </cell>
          <cell r="Q22">
            <v>2500</v>
          </cell>
          <cell r="U22">
            <v>0</v>
          </cell>
          <cell r="V22">
            <v>18500</v>
          </cell>
          <cell r="W22">
            <v>2500</v>
          </cell>
          <cell r="X22">
            <v>0</v>
          </cell>
          <cell r="Y22">
            <v>0</v>
          </cell>
          <cell r="Z22">
            <v>0</v>
          </cell>
          <cell r="AA22">
            <v>0</v>
          </cell>
          <cell r="AB22">
            <v>18894.583333333336</v>
          </cell>
          <cell r="AC22">
            <v>2250</v>
          </cell>
          <cell r="AD22">
            <v>1644</v>
          </cell>
          <cell r="AE22">
            <v>0</v>
          </cell>
          <cell r="AG22">
            <v>0</v>
          </cell>
          <cell r="AK22">
            <v>43788.583333333336</v>
          </cell>
          <cell r="AL22">
            <v>2220</v>
          </cell>
          <cell r="AN22">
            <v>138.75</v>
          </cell>
          <cell r="AO22">
            <v>35</v>
          </cell>
          <cell r="AT22">
            <v>3300</v>
          </cell>
          <cell r="AW22">
            <v>5693.75</v>
          </cell>
          <cell r="AX22">
            <v>38094.833333333336</v>
          </cell>
          <cell r="AY22">
            <v>137</v>
          </cell>
          <cell r="AZ22">
            <v>150</v>
          </cell>
          <cell r="BA22">
            <v>150</v>
          </cell>
          <cell r="BB22">
            <v>822</v>
          </cell>
          <cell r="BD22">
            <v>31</v>
          </cell>
          <cell r="BE22">
            <v>31</v>
          </cell>
          <cell r="BF22">
            <v>27</v>
          </cell>
          <cell r="BG22">
            <v>0</v>
          </cell>
          <cell r="BH22">
            <v>5.7465277777777768</v>
          </cell>
          <cell r="BI22">
            <v>7.75</v>
          </cell>
          <cell r="BJ22">
            <v>1.25</v>
          </cell>
          <cell r="BK22">
            <v>1</v>
          </cell>
          <cell r="BN22">
            <v>8</v>
          </cell>
          <cell r="BO22">
            <v>0</v>
          </cell>
          <cell r="BR22">
            <v>0</v>
          </cell>
          <cell r="BS22">
            <v>0</v>
          </cell>
          <cell r="BV22">
            <v>0</v>
          </cell>
          <cell r="BW22">
            <v>3</v>
          </cell>
          <cell r="BX22">
            <v>31</v>
          </cell>
          <cell r="BY22">
            <v>0</v>
          </cell>
          <cell r="BZ22" t="str">
            <v>7Y   Left</v>
          </cell>
          <cell r="CA22">
            <v>43788.583333333336</v>
          </cell>
          <cell r="CB22">
            <v>101894760766</v>
          </cell>
          <cell r="CC22">
            <v>6933034802</v>
          </cell>
          <cell r="CD22" t="str">
            <v>UK03- 20140018705</v>
          </cell>
          <cell r="CE22">
            <v>43788.583333333336</v>
          </cell>
          <cell r="CF22">
            <v>2405</v>
          </cell>
          <cell r="CG22">
            <v>601.25</v>
          </cell>
          <cell r="CH22">
            <v>1541.05</v>
          </cell>
          <cell r="CI22">
            <v>466</v>
          </cell>
          <cell r="CJ22">
            <v>0</v>
          </cell>
          <cell r="CK22">
            <v>64</v>
          </cell>
          <cell r="CL22">
            <v>740</v>
          </cell>
          <cell r="CM22">
            <v>49605.883333333339</v>
          </cell>
        </row>
        <row r="23">
          <cell r="D23" t="str">
            <v>1010</v>
          </cell>
          <cell r="E23" t="str">
            <v>KAILASH RAM</v>
          </cell>
          <cell r="F23" t="str">
            <v>Driver</v>
          </cell>
          <cell r="G23" t="str">
            <v>Transport</v>
          </cell>
          <cell r="H23" t="str">
            <v>Surat</v>
          </cell>
          <cell r="I23">
            <v>44563</v>
          </cell>
          <cell r="J23" t="str">
            <v>HR/32843/10522</v>
          </cell>
          <cell r="K23" t="str">
            <v>DWFPR8275E</v>
          </cell>
          <cell r="L23" t="str">
            <v>HDFC</v>
          </cell>
          <cell r="M23" t="str">
            <v>50100448334489</v>
          </cell>
          <cell r="N23" t="str">
            <v>03-JUL-2034</v>
          </cell>
          <cell r="O23">
            <v>21000</v>
          </cell>
          <cell r="P23">
            <v>18500</v>
          </cell>
          <cell r="Q23">
            <v>2500</v>
          </cell>
          <cell r="U23">
            <v>0</v>
          </cell>
          <cell r="V23">
            <v>18500</v>
          </cell>
          <cell r="W23">
            <v>2500</v>
          </cell>
          <cell r="X23">
            <v>0</v>
          </cell>
          <cell r="Y23">
            <v>0</v>
          </cell>
          <cell r="Z23">
            <v>0</v>
          </cell>
          <cell r="AA23">
            <v>0</v>
          </cell>
          <cell r="AB23">
            <v>0</v>
          </cell>
          <cell r="AC23">
            <v>0</v>
          </cell>
          <cell r="AD23">
            <v>0</v>
          </cell>
          <cell r="AE23">
            <v>0</v>
          </cell>
          <cell r="AG23">
            <v>0</v>
          </cell>
          <cell r="AJ23">
            <v>23901</v>
          </cell>
          <cell r="AK23">
            <v>44901</v>
          </cell>
          <cell r="AL23">
            <v>2220</v>
          </cell>
          <cell r="AN23">
            <v>138.75</v>
          </cell>
          <cell r="AW23">
            <v>2358.75</v>
          </cell>
          <cell r="AX23">
            <v>42542.25</v>
          </cell>
          <cell r="AY23">
            <v>137</v>
          </cell>
          <cell r="AZ23">
            <v>150</v>
          </cell>
          <cell r="BA23">
            <v>150</v>
          </cell>
          <cell r="BB23">
            <v>822</v>
          </cell>
          <cell r="BD23">
            <v>31</v>
          </cell>
          <cell r="BE23">
            <v>31</v>
          </cell>
          <cell r="BF23">
            <v>27</v>
          </cell>
          <cell r="BG23">
            <v>0</v>
          </cell>
          <cell r="BH23">
            <v>0</v>
          </cell>
          <cell r="BI23">
            <v>1.75</v>
          </cell>
          <cell r="BJ23">
            <v>1.25</v>
          </cell>
          <cell r="BK23">
            <v>0</v>
          </cell>
          <cell r="BN23">
            <v>3</v>
          </cell>
          <cell r="BO23">
            <v>0</v>
          </cell>
          <cell r="BR23">
            <v>0</v>
          </cell>
          <cell r="BS23">
            <v>0</v>
          </cell>
          <cell r="BV23">
            <v>0</v>
          </cell>
          <cell r="BW23">
            <v>4</v>
          </cell>
          <cell r="BX23">
            <v>31</v>
          </cell>
          <cell r="BY23">
            <v>0</v>
          </cell>
          <cell r="BZ23" t="str">
            <v>7Y   Left</v>
          </cell>
          <cell r="CA23">
            <v>21000</v>
          </cell>
          <cell r="CB23">
            <v>101910890351</v>
          </cell>
          <cell r="CC23">
            <v>6933183188</v>
          </cell>
          <cell r="CD23" t="str">
            <v>UK-03 2014 0020688</v>
          </cell>
          <cell r="CE23">
            <v>44901</v>
          </cell>
          <cell r="CF23">
            <v>2405</v>
          </cell>
          <cell r="CG23">
            <v>601.25</v>
          </cell>
          <cell r="CH23">
            <v>1541.05</v>
          </cell>
          <cell r="CI23">
            <v>467</v>
          </cell>
          <cell r="CJ23">
            <v>0</v>
          </cell>
          <cell r="CK23">
            <v>64</v>
          </cell>
          <cell r="CL23">
            <v>740</v>
          </cell>
          <cell r="CM23">
            <v>50719.3</v>
          </cell>
        </row>
        <row r="24">
          <cell r="D24" t="str">
            <v>1023</v>
          </cell>
          <cell r="E24" t="str">
            <v>MANTU KUMAR</v>
          </cell>
          <cell r="F24" t="str">
            <v>Driver</v>
          </cell>
          <cell r="G24" t="str">
            <v>Transport</v>
          </cell>
          <cell r="H24" t="str">
            <v>Gurgaon</v>
          </cell>
          <cell r="I24">
            <v>45139</v>
          </cell>
          <cell r="J24" t="str">
            <v>HR/32843/10691</v>
          </cell>
          <cell r="L24" t="str">
            <v>HDFC</v>
          </cell>
          <cell r="M24" t="str">
            <v>50100647269253</v>
          </cell>
          <cell r="N24" t="str">
            <v>12-08-2036</v>
          </cell>
          <cell r="O24">
            <v>21000</v>
          </cell>
          <cell r="P24">
            <v>18500</v>
          </cell>
          <cell r="Q24">
            <v>2500</v>
          </cell>
          <cell r="U24">
            <v>0</v>
          </cell>
          <cell r="V24">
            <v>18500</v>
          </cell>
          <cell r="W24">
            <v>2500</v>
          </cell>
          <cell r="X24">
            <v>0</v>
          </cell>
          <cell r="Y24">
            <v>0</v>
          </cell>
          <cell r="Z24">
            <v>0</v>
          </cell>
          <cell r="AA24">
            <v>0</v>
          </cell>
          <cell r="AB24">
            <v>15092.833333333332</v>
          </cell>
          <cell r="AC24">
            <v>1350</v>
          </cell>
          <cell r="AD24">
            <v>3288</v>
          </cell>
          <cell r="AE24">
            <v>0</v>
          </cell>
          <cell r="AK24">
            <v>40730.833333333328</v>
          </cell>
          <cell r="AL24">
            <v>2220</v>
          </cell>
          <cell r="AN24">
            <v>138.75</v>
          </cell>
          <cell r="AO24">
            <v>35</v>
          </cell>
          <cell r="AT24">
            <v>3125</v>
          </cell>
          <cell r="AW24">
            <v>5518.75</v>
          </cell>
          <cell r="AX24">
            <v>35212.083333333328</v>
          </cell>
          <cell r="AY24">
            <v>137</v>
          </cell>
          <cell r="AZ24">
            <v>150</v>
          </cell>
          <cell r="BA24">
            <v>150</v>
          </cell>
          <cell r="BB24">
            <v>822</v>
          </cell>
          <cell r="BD24">
            <v>31</v>
          </cell>
          <cell r="BE24">
            <v>31</v>
          </cell>
          <cell r="BF24">
            <v>31</v>
          </cell>
          <cell r="BG24">
            <v>0</v>
          </cell>
          <cell r="BH24">
            <v>4.5902777777777786</v>
          </cell>
          <cell r="BI24">
            <v>0.75</v>
          </cell>
          <cell r="BJ24">
            <v>1.25</v>
          </cell>
          <cell r="BK24">
            <v>0</v>
          </cell>
          <cell r="BN24">
            <v>2</v>
          </cell>
          <cell r="BO24">
            <v>0</v>
          </cell>
          <cell r="BR24">
            <v>0</v>
          </cell>
          <cell r="BS24">
            <v>0</v>
          </cell>
          <cell r="BV24">
            <v>0</v>
          </cell>
          <cell r="BW24">
            <v>0</v>
          </cell>
          <cell r="BX24">
            <v>31</v>
          </cell>
          <cell r="BY24">
            <v>0</v>
          </cell>
          <cell r="BZ24" t="str">
            <v>10Y   Left</v>
          </cell>
          <cell r="CA24">
            <v>40730.833333333328</v>
          </cell>
          <cell r="CB24">
            <v>101849357900</v>
          </cell>
          <cell r="CC24">
            <v>6932601235</v>
          </cell>
          <cell r="CD24" t="str">
            <v>JH02/2016/0162927</v>
          </cell>
          <cell r="CE24">
            <v>40730.833333333328</v>
          </cell>
          <cell r="CF24">
            <v>2405</v>
          </cell>
          <cell r="CG24">
            <v>601.25</v>
          </cell>
          <cell r="CH24">
            <v>1541.05</v>
          </cell>
          <cell r="CI24">
            <v>468</v>
          </cell>
          <cell r="CJ24">
            <v>0</v>
          </cell>
          <cell r="CK24">
            <v>64</v>
          </cell>
          <cell r="CL24">
            <v>740</v>
          </cell>
          <cell r="CM24">
            <v>46550.133333333331</v>
          </cell>
        </row>
        <row r="25">
          <cell r="D25" t="str">
            <v>1026</v>
          </cell>
          <cell r="E25" t="str">
            <v>DEEPAK KUMAR PANDEY</v>
          </cell>
          <cell r="F25" t="str">
            <v>Driver</v>
          </cell>
          <cell r="G25" t="str">
            <v>Transport</v>
          </cell>
          <cell r="H25" t="str">
            <v>Gurgaon</v>
          </cell>
          <cell r="I25">
            <v>45202</v>
          </cell>
          <cell r="J25" t="str">
            <v>HR/32843/10705</v>
          </cell>
          <cell r="K25" t="str">
            <v>EKZPP8731C</v>
          </cell>
          <cell r="N25">
            <v>47824</v>
          </cell>
          <cell r="O25">
            <v>21000</v>
          </cell>
          <cell r="P25">
            <v>18500</v>
          </cell>
          <cell r="Q25">
            <v>2500</v>
          </cell>
          <cell r="U25">
            <v>0</v>
          </cell>
          <cell r="V25">
            <v>18500</v>
          </cell>
          <cell r="W25">
            <v>2500</v>
          </cell>
          <cell r="X25">
            <v>0</v>
          </cell>
          <cell r="Y25">
            <v>0</v>
          </cell>
          <cell r="Z25">
            <v>0</v>
          </cell>
          <cell r="AA25">
            <v>0</v>
          </cell>
          <cell r="AB25">
            <v>11268.25</v>
          </cell>
          <cell r="AC25">
            <v>1800</v>
          </cell>
          <cell r="AD25">
            <v>0</v>
          </cell>
          <cell r="AE25">
            <v>0</v>
          </cell>
          <cell r="AG25">
            <v>0</v>
          </cell>
          <cell r="AJ25">
            <v>0</v>
          </cell>
          <cell r="AK25">
            <v>34068.25</v>
          </cell>
          <cell r="AL25">
            <v>2220</v>
          </cell>
          <cell r="AN25">
            <v>138.75</v>
          </cell>
          <cell r="AO25">
            <v>35</v>
          </cell>
          <cell r="AT25">
            <v>3000</v>
          </cell>
          <cell r="AW25">
            <v>5393.75</v>
          </cell>
          <cell r="AX25">
            <v>28674.5</v>
          </cell>
          <cell r="AY25">
            <v>137</v>
          </cell>
          <cell r="AZ25">
            <v>150</v>
          </cell>
          <cell r="BA25">
            <v>150</v>
          </cell>
          <cell r="BB25">
            <v>822</v>
          </cell>
          <cell r="BD25">
            <v>31</v>
          </cell>
          <cell r="BE25">
            <v>31</v>
          </cell>
          <cell r="BF25">
            <v>25</v>
          </cell>
          <cell r="BG25">
            <v>0</v>
          </cell>
          <cell r="BH25">
            <v>3.4270833333333335</v>
          </cell>
          <cell r="BI25">
            <v>9</v>
          </cell>
          <cell r="BJ25">
            <v>1.25</v>
          </cell>
          <cell r="BK25">
            <v>0</v>
          </cell>
          <cell r="BN25">
            <v>10.25</v>
          </cell>
          <cell r="BO25">
            <v>0</v>
          </cell>
          <cell r="BR25">
            <v>0</v>
          </cell>
          <cell r="BS25">
            <v>0</v>
          </cell>
          <cell r="BV25">
            <v>0</v>
          </cell>
          <cell r="BW25">
            <v>6</v>
          </cell>
          <cell r="BX25">
            <v>31</v>
          </cell>
          <cell r="BY25">
            <v>0</v>
          </cell>
          <cell r="BZ25" t="str">
            <v>4Y   Left</v>
          </cell>
          <cell r="CA25">
            <v>34068.25</v>
          </cell>
          <cell r="CB25">
            <v>100932692349</v>
          </cell>
          <cell r="CC25">
            <v>6934121541</v>
          </cell>
          <cell r="CD25" t="str">
            <v>UP63 20150016718</v>
          </cell>
          <cell r="CE25">
            <v>34068.25</v>
          </cell>
          <cell r="CF25">
            <v>2405</v>
          </cell>
          <cell r="CG25">
            <v>601.25</v>
          </cell>
          <cell r="CH25">
            <v>1541.05</v>
          </cell>
          <cell r="CI25">
            <v>469</v>
          </cell>
          <cell r="CJ25">
            <v>0</v>
          </cell>
          <cell r="CK25">
            <v>64</v>
          </cell>
          <cell r="CL25">
            <v>740</v>
          </cell>
          <cell r="CM25">
            <v>39888.550000000003</v>
          </cell>
        </row>
        <row r="26">
          <cell r="D26" t="str">
            <v>1030</v>
          </cell>
          <cell r="E26" t="str">
            <v>KRISHAN</v>
          </cell>
          <cell r="F26" t="str">
            <v>Driver</v>
          </cell>
          <cell r="G26" t="str">
            <v>Transport</v>
          </cell>
          <cell r="H26" t="str">
            <v>Gurgaon</v>
          </cell>
          <cell r="I26">
            <v>45261</v>
          </cell>
          <cell r="J26" t="str">
            <v>HR/32843/10722</v>
          </cell>
          <cell r="K26" t="str">
            <v>FIGPK6148J</v>
          </cell>
          <cell r="L26" t="str">
            <v>HDFC</v>
          </cell>
          <cell r="M26" t="str">
            <v>50100594079322</v>
          </cell>
          <cell r="N26" t="str">
            <v>31-MAR-2037</v>
          </cell>
          <cell r="O26">
            <v>21000</v>
          </cell>
          <cell r="P26">
            <v>18500</v>
          </cell>
          <cell r="Q26">
            <v>2500</v>
          </cell>
          <cell r="U26">
            <v>0</v>
          </cell>
          <cell r="V26">
            <v>18500</v>
          </cell>
          <cell r="W26">
            <v>2500</v>
          </cell>
          <cell r="X26">
            <v>0</v>
          </cell>
          <cell r="Y26">
            <v>0</v>
          </cell>
          <cell r="Z26">
            <v>0</v>
          </cell>
          <cell r="AA26">
            <v>0</v>
          </cell>
          <cell r="AB26">
            <v>7877.4999999999991</v>
          </cell>
          <cell r="AC26">
            <v>0</v>
          </cell>
          <cell r="AD26">
            <v>0</v>
          </cell>
          <cell r="AE26">
            <v>0</v>
          </cell>
          <cell r="AG26">
            <v>1100</v>
          </cell>
          <cell r="AK26">
            <v>29977.5</v>
          </cell>
          <cell r="AL26">
            <v>2220</v>
          </cell>
          <cell r="AN26">
            <v>138.75</v>
          </cell>
          <cell r="AO26">
            <v>35</v>
          </cell>
          <cell r="AW26">
            <v>2393.75</v>
          </cell>
          <cell r="AX26">
            <v>27583.75</v>
          </cell>
          <cell r="AY26">
            <v>137</v>
          </cell>
          <cell r="AZ26">
            <v>150</v>
          </cell>
          <cell r="BA26">
            <v>150</v>
          </cell>
          <cell r="BB26">
            <v>822</v>
          </cell>
          <cell r="BD26">
            <v>31</v>
          </cell>
          <cell r="BE26">
            <v>31</v>
          </cell>
          <cell r="BF26">
            <v>22</v>
          </cell>
          <cell r="BG26">
            <v>0</v>
          </cell>
          <cell r="BH26">
            <v>2.3958333333333313</v>
          </cell>
          <cell r="BI26">
            <v>8.75</v>
          </cell>
          <cell r="BJ26">
            <v>1.25</v>
          </cell>
          <cell r="BK26">
            <v>3</v>
          </cell>
          <cell r="BN26">
            <v>7</v>
          </cell>
          <cell r="BO26">
            <v>0</v>
          </cell>
          <cell r="BR26">
            <v>0</v>
          </cell>
          <cell r="BS26">
            <v>0</v>
          </cell>
          <cell r="BV26">
            <v>0</v>
          </cell>
          <cell r="BW26">
            <v>6</v>
          </cell>
          <cell r="BX26">
            <v>31</v>
          </cell>
          <cell r="BY26">
            <v>0</v>
          </cell>
          <cell r="BZ26" t="str">
            <v>10Y   Left</v>
          </cell>
          <cell r="CA26">
            <v>28877.5</v>
          </cell>
          <cell r="CB26">
            <v>101583359689</v>
          </cell>
          <cell r="CC26">
            <v>1512637186</v>
          </cell>
          <cell r="CD26" t="str">
            <v>HR26 20190026442</v>
          </cell>
          <cell r="CE26">
            <v>29977.5</v>
          </cell>
          <cell r="CF26">
            <v>2405</v>
          </cell>
          <cell r="CG26">
            <v>601.25</v>
          </cell>
          <cell r="CH26">
            <v>1541.05</v>
          </cell>
          <cell r="CI26">
            <v>470</v>
          </cell>
          <cell r="CJ26">
            <v>0</v>
          </cell>
          <cell r="CK26">
            <v>64</v>
          </cell>
          <cell r="CL26">
            <v>740</v>
          </cell>
          <cell r="CM26">
            <v>35798.800000000003</v>
          </cell>
        </row>
        <row r="27">
          <cell r="D27" t="str">
            <v>1031</v>
          </cell>
          <cell r="E27" t="str">
            <v>AMRENDRA PRATAP</v>
          </cell>
          <cell r="F27" t="str">
            <v>Driver</v>
          </cell>
          <cell r="G27" t="str">
            <v>Transport</v>
          </cell>
          <cell r="H27" t="str">
            <v>Gurgaon</v>
          </cell>
          <cell r="I27">
            <v>45293</v>
          </cell>
          <cell r="J27" t="str">
            <v>HR/32843/10725</v>
          </cell>
          <cell r="K27" t="str">
            <v>DZVPP6907C</v>
          </cell>
          <cell r="L27" t="str">
            <v>HDFC</v>
          </cell>
          <cell r="M27" t="str">
            <v>50100487691828</v>
          </cell>
          <cell r="N27" t="str">
            <v>13-JUL-2027</v>
          </cell>
          <cell r="O27">
            <v>21000</v>
          </cell>
          <cell r="P27">
            <v>18500</v>
          </cell>
          <cell r="Q27">
            <v>2500</v>
          </cell>
          <cell r="U27">
            <v>0</v>
          </cell>
          <cell r="V27">
            <v>18500</v>
          </cell>
          <cell r="W27">
            <v>2500</v>
          </cell>
          <cell r="X27">
            <v>0</v>
          </cell>
          <cell r="Y27">
            <v>0</v>
          </cell>
          <cell r="Z27">
            <v>0</v>
          </cell>
          <cell r="AA27">
            <v>0</v>
          </cell>
          <cell r="AB27">
            <v>16599.833333333332</v>
          </cell>
          <cell r="AC27">
            <v>2550</v>
          </cell>
          <cell r="AD27">
            <v>3288</v>
          </cell>
          <cell r="AE27">
            <v>0</v>
          </cell>
          <cell r="AG27">
            <v>3000</v>
          </cell>
          <cell r="AK27">
            <v>46437.833333333328</v>
          </cell>
          <cell r="AL27">
            <v>2220</v>
          </cell>
          <cell r="AN27">
            <v>138.75</v>
          </cell>
          <cell r="AO27">
            <v>35</v>
          </cell>
          <cell r="AT27">
            <v>5000</v>
          </cell>
          <cell r="AW27">
            <v>7393.75</v>
          </cell>
          <cell r="AX27">
            <v>39044.083333333328</v>
          </cell>
          <cell r="AY27">
            <v>137</v>
          </cell>
          <cell r="AZ27">
            <v>150</v>
          </cell>
          <cell r="BA27">
            <v>150</v>
          </cell>
          <cell r="BB27">
            <v>822</v>
          </cell>
          <cell r="BD27">
            <v>31</v>
          </cell>
          <cell r="BE27">
            <v>31</v>
          </cell>
          <cell r="BF27">
            <v>31</v>
          </cell>
          <cell r="BG27">
            <v>0</v>
          </cell>
          <cell r="BH27">
            <v>5.0486111111111107</v>
          </cell>
          <cell r="BI27">
            <v>0.75</v>
          </cell>
          <cell r="BJ27">
            <v>1.25</v>
          </cell>
          <cell r="BK27">
            <v>0</v>
          </cell>
          <cell r="BN27">
            <v>2</v>
          </cell>
          <cell r="BO27">
            <v>0</v>
          </cell>
          <cell r="BR27">
            <v>0</v>
          </cell>
          <cell r="BS27">
            <v>0</v>
          </cell>
          <cell r="BV27">
            <v>0</v>
          </cell>
          <cell r="BW27">
            <v>0</v>
          </cell>
          <cell r="BX27">
            <v>31</v>
          </cell>
          <cell r="BY27">
            <v>0</v>
          </cell>
          <cell r="BZ27" t="str">
            <v>340 Days Left</v>
          </cell>
          <cell r="CA27">
            <v>43437.833333333328</v>
          </cell>
          <cell r="CB27">
            <v>102033039750</v>
          </cell>
          <cell r="CC27">
            <v>6934379559</v>
          </cell>
          <cell r="CD27" t="str">
            <v>UP75 20150013531</v>
          </cell>
          <cell r="CE27">
            <v>46437.833333333328</v>
          </cell>
          <cell r="CF27">
            <v>2405</v>
          </cell>
          <cell r="CG27">
            <v>601.25</v>
          </cell>
          <cell r="CH27">
            <v>1541.05</v>
          </cell>
          <cell r="CI27">
            <v>471</v>
          </cell>
          <cell r="CJ27">
            <v>0</v>
          </cell>
          <cell r="CK27">
            <v>64</v>
          </cell>
          <cell r="CL27">
            <v>740</v>
          </cell>
          <cell r="CM27">
            <v>52260.133333333331</v>
          </cell>
        </row>
        <row r="28">
          <cell r="D28" t="str">
            <v>1032</v>
          </cell>
          <cell r="E28" t="str">
            <v>AJEET</v>
          </cell>
          <cell r="F28" t="str">
            <v>Driver</v>
          </cell>
          <cell r="G28" t="str">
            <v>Transport</v>
          </cell>
          <cell r="H28" t="str">
            <v>Gurgaon</v>
          </cell>
          <cell r="I28">
            <v>45301</v>
          </cell>
          <cell r="J28" t="str">
            <v>HR/32843/10726</v>
          </cell>
          <cell r="K28" t="str">
            <v>CBMPA8688M</v>
          </cell>
          <cell r="L28" t="str">
            <v>HDFC</v>
          </cell>
          <cell r="M28" t="str">
            <v>50100687948612</v>
          </cell>
          <cell r="N28" t="str">
            <v>16-NOV-2026</v>
          </cell>
          <cell r="O28">
            <v>21000</v>
          </cell>
          <cell r="P28">
            <v>18500</v>
          </cell>
          <cell r="Q28">
            <v>2500</v>
          </cell>
          <cell r="U28">
            <v>0</v>
          </cell>
          <cell r="V28">
            <v>18500</v>
          </cell>
          <cell r="W28">
            <v>2500</v>
          </cell>
          <cell r="X28">
            <v>0</v>
          </cell>
          <cell r="Y28">
            <v>0</v>
          </cell>
          <cell r="Z28">
            <v>0</v>
          </cell>
          <cell r="AA28">
            <v>0</v>
          </cell>
          <cell r="AB28">
            <v>20618.5</v>
          </cell>
          <cell r="AC28">
            <v>2850</v>
          </cell>
          <cell r="AD28">
            <v>2466</v>
          </cell>
          <cell r="AE28">
            <v>0</v>
          </cell>
          <cell r="AG28">
            <v>2000</v>
          </cell>
          <cell r="AK28">
            <v>48934.5</v>
          </cell>
          <cell r="AL28">
            <v>2220</v>
          </cell>
          <cell r="AN28">
            <v>138.75</v>
          </cell>
          <cell r="AO28">
            <v>35</v>
          </cell>
          <cell r="AW28">
            <v>2393.75</v>
          </cell>
          <cell r="AX28">
            <v>46540.75</v>
          </cell>
          <cell r="AY28">
            <v>137</v>
          </cell>
          <cell r="AZ28">
            <v>150</v>
          </cell>
          <cell r="BA28">
            <v>150</v>
          </cell>
          <cell r="BB28">
            <v>822</v>
          </cell>
          <cell r="BD28">
            <v>31</v>
          </cell>
          <cell r="BE28">
            <v>31</v>
          </cell>
          <cell r="BF28">
            <v>30</v>
          </cell>
          <cell r="BG28">
            <v>0</v>
          </cell>
          <cell r="BH28">
            <v>6.2708333333333348</v>
          </cell>
          <cell r="BI28">
            <v>3.75</v>
          </cell>
          <cell r="BJ28">
            <v>1.25</v>
          </cell>
          <cell r="BK28">
            <v>0</v>
          </cell>
          <cell r="BN28">
            <v>5</v>
          </cell>
          <cell r="BO28">
            <v>0</v>
          </cell>
          <cell r="BR28">
            <v>0</v>
          </cell>
          <cell r="BS28">
            <v>0</v>
          </cell>
          <cell r="BV28">
            <v>0</v>
          </cell>
          <cell r="BW28">
            <v>1</v>
          </cell>
          <cell r="BX28">
            <v>31</v>
          </cell>
          <cell r="BY28">
            <v>0</v>
          </cell>
          <cell r="BZ28" t="str">
            <v>101 Days Left</v>
          </cell>
          <cell r="CA28">
            <v>46934.5</v>
          </cell>
          <cell r="CB28">
            <v>101771027016</v>
          </cell>
          <cell r="CC28">
            <v>6934379577</v>
          </cell>
          <cell r="CD28" t="str">
            <v>UP15 20160025498</v>
          </cell>
          <cell r="CE28">
            <v>48934.5</v>
          </cell>
          <cell r="CF28">
            <v>2405</v>
          </cell>
          <cell r="CG28">
            <v>601.25</v>
          </cell>
          <cell r="CH28">
            <v>1541.05</v>
          </cell>
          <cell r="CI28">
            <v>472</v>
          </cell>
          <cell r="CJ28">
            <v>0</v>
          </cell>
          <cell r="CK28">
            <v>64</v>
          </cell>
          <cell r="CL28">
            <v>740</v>
          </cell>
          <cell r="CM28">
            <v>54757.8</v>
          </cell>
        </row>
        <row r="29">
          <cell r="D29" t="str">
            <v>1036</v>
          </cell>
          <cell r="E29" t="str">
            <v>SUNIL DUTT YADAV</v>
          </cell>
          <cell r="F29" t="str">
            <v>Driver</v>
          </cell>
          <cell r="G29" t="str">
            <v>Transport</v>
          </cell>
          <cell r="H29" t="str">
            <v>Gurgaon</v>
          </cell>
          <cell r="I29">
            <v>45393</v>
          </cell>
          <cell r="J29" t="str">
            <v>HR/32843/10747</v>
          </cell>
          <cell r="K29" t="str">
            <v>BJOPY0883R</v>
          </cell>
          <cell r="L29" t="str">
            <v>HDFC</v>
          </cell>
          <cell r="M29" t="str">
            <v>50100717861813</v>
          </cell>
          <cell r="N29">
            <v>47602</v>
          </cell>
          <cell r="O29">
            <v>21000</v>
          </cell>
          <cell r="P29">
            <v>18500</v>
          </cell>
          <cell r="Q29">
            <v>2500</v>
          </cell>
          <cell r="U29">
            <v>0</v>
          </cell>
          <cell r="V29">
            <v>18500</v>
          </cell>
          <cell r="W29">
            <v>2500</v>
          </cell>
          <cell r="X29">
            <v>0</v>
          </cell>
          <cell r="Y29">
            <v>0</v>
          </cell>
          <cell r="Z29">
            <v>0</v>
          </cell>
          <cell r="AA29">
            <v>0</v>
          </cell>
          <cell r="AB29">
            <v>13117.75</v>
          </cell>
          <cell r="AC29">
            <v>1500</v>
          </cell>
          <cell r="AD29">
            <v>2466</v>
          </cell>
          <cell r="AE29">
            <v>0</v>
          </cell>
          <cell r="AG29">
            <v>1800</v>
          </cell>
          <cell r="AJ29">
            <v>0</v>
          </cell>
          <cell r="AK29">
            <v>39883.75</v>
          </cell>
          <cell r="AL29">
            <v>2220</v>
          </cell>
          <cell r="AN29">
            <v>138.75</v>
          </cell>
          <cell r="AO29">
            <v>35</v>
          </cell>
          <cell r="AW29">
            <v>2393.75</v>
          </cell>
          <cell r="AX29">
            <v>37490</v>
          </cell>
          <cell r="AY29">
            <v>137</v>
          </cell>
          <cell r="AZ29">
            <v>150</v>
          </cell>
          <cell r="BA29">
            <v>150</v>
          </cell>
          <cell r="BB29">
            <v>822</v>
          </cell>
          <cell r="BD29">
            <v>31</v>
          </cell>
          <cell r="BE29">
            <v>31</v>
          </cell>
          <cell r="BF29">
            <v>27</v>
          </cell>
          <cell r="BG29">
            <v>0</v>
          </cell>
          <cell r="BH29">
            <v>3.989583333333333</v>
          </cell>
          <cell r="BI29">
            <v>13.75</v>
          </cell>
          <cell r="BJ29">
            <v>1.25</v>
          </cell>
          <cell r="BK29">
            <v>0</v>
          </cell>
          <cell r="BN29">
            <v>15</v>
          </cell>
          <cell r="BO29">
            <v>0</v>
          </cell>
          <cell r="BR29">
            <v>0</v>
          </cell>
          <cell r="BS29">
            <v>0</v>
          </cell>
          <cell r="BV29">
            <v>0</v>
          </cell>
          <cell r="BW29">
            <v>4</v>
          </cell>
          <cell r="BX29">
            <v>31</v>
          </cell>
          <cell r="BY29">
            <v>0</v>
          </cell>
          <cell r="BZ29" t="str">
            <v>3Y   Left</v>
          </cell>
          <cell r="CA29">
            <v>38083.75</v>
          </cell>
          <cell r="CB29">
            <v>102065642558</v>
          </cell>
          <cell r="CC29">
            <v>6934727216</v>
          </cell>
          <cell r="CD29" t="str">
            <v>RJO2A30200004423</v>
          </cell>
          <cell r="CE29">
            <v>39883.75</v>
          </cell>
          <cell r="CF29">
            <v>2405</v>
          </cell>
          <cell r="CG29">
            <v>601.25</v>
          </cell>
          <cell r="CH29">
            <v>1541.05</v>
          </cell>
          <cell r="CI29">
            <v>473</v>
          </cell>
          <cell r="CJ29">
            <v>0</v>
          </cell>
          <cell r="CK29">
            <v>64</v>
          </cell>
          <cell r="CL29">
            <v>740</v>
          </cell>
          <cell r="CM29">
            <v>45708.05</v>
          </cell>
        </row>
        <row r="30">
          <cell r="D30" t="str">
            <v>1039</v>
          </cell>
          <cell r="E30" t="str">
            <v xml:space="preserve">ANIL   </v>
          </cell>
          <cell r="F30" t="str">
            <v>Driver</v>
          </cell>
          <cell r="G30" t="str">
            <v>Transport</v>
          </cell>
          <cell r="H30" t="str">
            <v>Gurgaon</v>
          </cell>
          <cell r="I30">
            <v>45421</v>
          </cell>
          <cell r="J30" t="str">
            <v>HR/32843/10757</v>
          </cell>
          <cell r="K30" t="str">
            <v>ENTPK6116B</v>
          </cell>
          <cell r="L30" t="str">
            <v>HDFC</v>
          </cell>
          <cell r="M30" t="str">
            <v>50100746563906</v>
          </cell>
          <cell r="N30" t="str">
            <v>20-12-2031</v>
          </cell>
          <cell r="O30">
            <v>21000</v>
          </cell>
          <cell r="P30">
            <v>18500</v>
          </cell>
          <cell r="Q30">
            <v>2500</v>
          </cell>
          <cell r="U30">
            <v>0</v>
          </cell>
          <cell r="V30">
            <v>18500</v>
          </cell>
          <cell r="W30">
            <v>2500</v>
          </cell>
          <cell r="X30">
            <v>0</v>
          </cell>
          <cell r="Y30">
            <v>0</v>
          </cell>
          <cell r="Z30">
            <v>0</v>
          </cell>
          <cell r="AA30">
            <v>0</v>
          </cell>
          <cell r="AB30">
            <v>0</v>
          </cell>
          <cell r="AC30">
            <v>0</v>
          </cell>
          <cell r="AD30">
            <v>0</v>
          </cell>
          <cell r="AE30">
            <v>0</v>
          </cell>
          <cell r="AG30">
            <v>0</v>
          </cell>
          <cell r="AJ30">
            <v>5500</v>
          </cell>
          <cell r="AK30">
            <v>26500</v>
          </cell>
          <cell r="AL30">
            <v>2220</v>
          </cell>
          <cell r="AN30">
            <v>138.75</v>
          </cell>
          <cell r="AO30">
            <v>35</v>
          </cell>
          <cell r="AW30">
            <v>2393.75</v>
          </cell>
          <cell r="AX30">
            <v>24106.25</v>
          </cell>
          <cell r="AY30">
            <v>137</v>
          </cell>
          <cell r="AZ30">
            <v>150</v>
          </cell>
          <cell r="BA30">
            <v>150</v>
          </cell>
          <cell r="BB30">
            <v>822</v>
          </cell>
          <cell r="BD30">
            <v>31</v>
          </cell>
          <cell r="BE30">
            <v>31</v>
          </cell>
          <cell r="BF30">
            <v>25</v>
          </cell>
          <cell r="BG30">
            <v>0</v>
          </cell>
          <cell r="BH30">
            <v>0</v>
          </cell>
          <cell r="BI30">
            <v>11.5</v>
          </cell>
          <cell r="BJ30">
            <v>1.25</v>
          </cell>
          <cell r="BK30">
            <v>0</v>
          </cell>
          <cell r="BN30">
            <v>12.75</v>
          </cell>
          <cell r="BO30">
            <v>0</v>
          </cell>
          <cell r="BR30">
            <v>0</v>
          </cell>
          <cell r="BS30">
            <v>0</v>
          </cell>
          <cell r="BV30">
            <v>0</v>
          </cell>
          <cell r="BW30">
            <v>6</v>
          </cell>
          <cell r="BX30">
            <v>31</v>
          </cell>
          <cell r="BY30">
            <v>0</v>
          </cell>
          <cell r="BZ30" t="str">
            <v>5Y   Left</v>
          </cell>
          <cell r="CA30">
            <v>21000</v>
          </cell>
          <cell r="CB30">
            <v>102073037944</v>
          </cell>
          <cell r="CC30">
            <v>6934808101</v>
          </cell>
          <cell r="CD30" t="str">
            <v>HR-3520110046519</v>
          </cell>
          <cell r="CE30">
            <v>26500</v>
          </cell>
          <cell r="CF30">
            <v>2405</v>
          </cell>
          <cell r="CG30">
            <v>601.25</v>
          </cell>
          <cell r="CH30">
            <v>1541.05</v>
          </cell>
          <cell r="CI30">
            <v>476</v>
          </cell>
          <cell r="CJ30">
            <v>0</v>
          </cell>
          <cell r="CK30">
            <v>64</v>
          </cell>
          <cell r="CL30">
            <v>740</v>
          </cell>
          <cell r="CM30">
            <v>32327.3</v>
          </cell>
        </row>
        <row r="31">
          <cell r="D31" t="str">
            <v>1047</v>
          </cell>
          <cell r="E31" t="str">
            <v>BHUPENDER SINGH</v>
          </cell>
          <cell r="F31" t="str">
            <v>Driver</v>
          </cell>
          <cell r="G31" t="str">
            <v>Transport</v>
          </cell>
          <cell r="H31" t="str">
            <v>Gurgaon</v>
          </cell>
          <cell r="I31">
            <v>45540</v>
          </cell>
          <cell r="J31" t="str">
            <v>HR/32843/10814</v>
          </cell>
          <cell r="K31" t="str">
            <v>FEZPS6665P</v>
          </cell>
          <cell r="L31" t="str">
            <v>HDFC</v>
          </cell>
          <cell r="M31" t="str">
            <v>12021050055643</v>
          </cell>
          <cell r="N31">
            <v>46290</v>
          </cell>
          <cell r="O31">
            <v>21000</v>
          </cell>
          <cell r="P31">
            <v>18500</v>
          </cell>
          <cell r="Q31">
            <v>2500</v>
          </cell>
          <cell r="U31">
            <v>0</v>
          </cell>
          <cell r="V31">
            <v>18500</v>
          </cell>
          <cell r="W31">
            <v>2500</v>
          </cell>
          <cell r="X31">
            <v>0</v>
          </cell>
          <cell r="Y31">
            <v>0</v>
          </cell>
          <cell r="Z31">
            <v>0</v>
          </cell>
          <cell r="AA31">
            <v>0</v>
          </cell>
          <cell r="AB31">
            <v>18563.5</v>
          </cell>
          <cell r="AC31">
            <v>1650</v>
          </cell>
          <cell r="AD31">
            <v>1644</v>
          </cell>
          <cell r="AE31">
            <v>0</v>
          </cell>
          <cell r="AG31">
            <v>0</v>
          </cell>
          <cell r="AK31">
            <v>42857.5</v>
          </cell>
          <cell r="AL31">
            <v>2220</v>
          </cell>
          <cell r="AN31">
            <v>138.75</v>
          </cell>
          <cell r="AO31">
            <v>35</v>
          </cell>
          <cell r="AW31">
            <v>2393.75</v>
          </cell>
          <cell r="AX31">
            <v>40463.75</v>
          </cell>
          <cell r="AY31">
            <v>137</v>
          </cell>
          <cell r="AZ31">
            <v>150</v>
          </cell>
          <cell r="BA31">
            <v>150</v>
          </cell>
          <cell r="BB31">
            <v>822</v>
          </cell>
          <cell r="BD31">
            <v>31</v>
          </cell>
          <cell r="BE31">
            <v>31</v>
          </cell>
          <cell r="BF31">
            <v>29</v>
          </cell>
          <cell r="BG31">
            <v>0</v>
          </cell>
          <cell r="BH31">
            <v>5.6458333333333321</v>
          </cell>
          <cell r="BI31">
            <v>1.75</v>
          </cell>
          <cell r="BJ31">
            <v>1.25</v>
          </cell>
          <cell r="BK31">
            <v>0</v>
          </cell>
          <cell r="BN31">
            <v>3</v>
          </cell>
          <cell r="BO31">
            <v>0</v>
          </cell>
          <cell r="BR31">
            <v>0</v>
          </cell>
          <cell r="BS31">
            <v>0</v>
          </cell>
          <cell r="BV31">
            <v>0</v>
          </cell>
          <cell r="BW31">
            <v>2</v>
          </cell>
          <cell r="BX31">
            <v>31</v>
          </cell>
          <cell r="BY31">
            <v>0</v>
          </cell>
          <cell r="BZ31" t="str">
            <v>49 Days Left</v>
          </cell>
          <cell r="CA31">
            <v>42857.5</v>
          </cell>
          <cell r="CB31">
            <v>100113171373</v>
          </cell>
          <cell r="CC31">
            <v>6935303207</v>
          </cell>
          <cell r="CD31" t="str">
            <v>HR-3520110046519</v>
          </cell>
          <cell r="CE31">
            <v>42857.5</v>
          </cell>
          <cell r="CF31">
            <v>2405</v>
          </cell>
          <cell r="CG31">
            <v>601.25</v>
          </cell>
          <cell r="CH31">
            <v>1541.05</v>
          </cell>
          <cell r="CI31">
            <v>477</v>
          </cell>
          <cell r="CJ31">
            <v>0</v>
          </cell>
          <cell r="CK31">
            <v>65</v>
          </cell>
          <cell r="CL31">
            <v>740</v>
          </cell>
          <cell r="CM31">
            <v>48686.8</v>
          </cell>
        </row>
        <row r="32">
          <cell r="D32" t="str">
            <v>1051</v>
          </cell>
          <cell r="E32" t="str">
            <v xml:space="preserve">HARISH CHANDER   </v>
          </cell>
          <cell r="F32" t="str">
            <v>Driver</v>
          </cell>
          <cell r="G32" t="str">
            <v>Transport</v>
          </cell>
          <cell r="H32" t="str">
            <v>Gurgaon</v>
          </cell>
          <cell r="I32">
            <v>45607</v>
          </cell>
          <cell r="J32" t="str">
            <v>HR/32843/10830</v>
          </cell>
          <cell r="K32" t="str">
            <v>AQVPC8884D</v>
          </cell>
          <cell r="L32" t="str">
            <v>HDFC</v>
          </cell>
          <cell r="M32" t="str">
            <v>50100767414127</v>
          </cell>
          <cell r="N32">
            <v>48917</v>
          </cell>
          <cell r="O32">
            <v>21000</v>
          </cell>
          <cell r="P32">
            <v>18500</v>
          </cell>
          <cell r="Q32">
            <v>2500</v>
          </cell>
          <cell r="U32">
            <v>0</v>
          </cell>
          <cell r="V32">
            <v>18500</v>
          </cell>
          <cell r="W32">
            <v>2500</v>
          </cell>
          <cell r="X32">
            <v>0</v>
          </cell>
          <cell r="Y32">
            <v>0</v>
          </cell>
          <cell r="Z32">
            <v>0</v>
          </cell>
          <cell r="AA32">
            <v>0</v>
          </cell>
          <cell r="AB32">
            <v>1712.4999999999995</v>
          </cell>
          <cell r="AC32">
            <v>0</v>
          </cell>
          <cell r="AD32">
            <v>0</v>
          </cell>
          <cell r="AE32">
            <v>0</v>
          </cell>
          <cell r="AG32">
            <v>0</v>
          </cell>
          <cell r="AJ32">
            <v>1787.5</v>
          </cell>
          <cell r="AK32">
            <v>24500</v>
          </cell>
          <cell r="AL32">
            <v>2220</v>
          </cell>
          <cell r="AN32">
            <v>138.75</v>
          </cell>
          <cell r="AO32">
            <v>35</v>
          </cell>
          <cell r="AW32">
            <v>2393.75</v>
          </cell>
          <cell r="AX32">
            <v>22106.25</v>
          </cell>
          <cell r="AY32">
            <v>137</v>
          </cell>
          <cell r="AZ32">
            <v>150</v>
          </cell>
          <cell r="BA32">
            <v>150</v>
          </cell>
          <cell r="BB32">
            <v>822</v>
          </cell>
          <cell r="BD32">
            <v>31</v>
          </cell>
          <cell r="BE32">
            <v>31</v>
          </cell>
          <cell r="BF32">
            <v>27</v>
          </cell>
          <cell r="BG32">
            <v>0</v>
          </cell>
          <cell r="BH32">
            <v>0.52083333333333326</v>
          </cell>
          <cell r="BI32">
            <v>4.25</v>
          </cell>
          <cell r="BJ32">
            <v>1.25</v>
          </cell>
          <cell r="BK32">
            <v>0</v>
          </cell>
          <cell r="BN32">
            <v>5.5</v>
          </cell>
          <cell r="BO32">
            <v>0</v>
          </cell>
          <cell r="BR32">
            <v>0</v>
          </cell>
          <cell r="BS32">
            <v>0</v>
          </cell>
          <cell r="BV32">
            <v>0</v>
          </cell>
          <cell r="BW32">
            <v>4</v>
          </cell>
          <cell r="BX32">
            <v>31</v>
          </cell>
          <cell r="BY32">
            <v>0</v>
          </cell>
          <cell r="BZ32" t="str">
            <v>7Y   Left</v>
          </cell>
          <cell r="CA32">
            <v>22712.5</v>
          </cell>
          <cell r="CB32">
            <v>100427245832</v>
          </cell>
          <cell r="CC32">
            <v>6935506039</v>
          </cell>
          <cell r="CD32" t="str">
            <v>RJ02 20180012047</v>
          </cell>
          <cell r="CE32">
            <v>24500</v>
          </cell>
          <cell r="CF32">
            <v>2405</v>
          </cell>
          <cell r="CG32">
            <v>601.25</v>
          </cell>
          <cell r="CH32">
            <v>1541.05</v>
          </cell>
          <cell r="CI32">
            <v>480</v>
          </cell>
          <cell r="CJ32">
            <v>0</v>
          </cell>
          <cell r="CK32">
            <v>64</v>
          </cell>
          <cell r="CL32">
            <v>740</v>
          </cell>
          <cell r="CM32">
            <v>30331.3</v>
          </cell>
        </row>
        <row r="33">
          <cell r="D33" t="str">
            <v>1053</v>
          </cell>
          <cell r="E33" t="str">
            <v>SHYAMLAL SAKET</v>
          </cell>
          <cell r="F33" t="str">
            <v>Driver</v>
          </cell>
          <cell r="G33" t="str">
            <v>Transport</v>
          </cell>
          <cell r="H33" t="str">
            <v>Gurgaon</v>
          </cell>
          <cell r="I33">
            <v>45698</v>
          </cell>
          <cell r="J33" t="str">
            <v>HR/32843/10856</v>
          </cell>
          <cell r="K33" t="str">
            <v>JSMPS2875C</v>
          </cell>
          <cell r="L33" t="str">
            <v>HDFC</v>
          </cell>
          <cell r="M33" t="str">
            <v>50100767414420</v>
          </cell>
          <cell r="N33">
            <v>50069</v>
          </cell>
          <cell r="O33">
            <v>21000</v>
          </cell>
          <cell r="P33">
            <v>18500</v>
          </cell>
          <cell r="Q33">
            <v>2500</v>
          </cell>
          <cell r="V33">
            <v>18500</v>
          </cell>
          <cell r="W33">
            <v>2500</v>
          </cell>
          <cell r="X33">
            <v>0</v>
          </cell>
          <cell r="Y33">
            <v>0</v>
          </cell>
          <cell r="Z33">
            <v>0</v>
          </cell>
          <cell r="AA33">
            <v>0</v>
          </cell>
          <cell r="AB33">
            <v>20961</v>
          </cell>
          <cell r="AC33">
            <v>1950</v>
          </cell>
          <cell r="AD33">
            <v>3288</v>
          </cell>
          <cell r="AE33">
            <v>6028</v>
          </cell>
          <cell r="AK33">
            <v>53227</v>
          </cell>
          <cell r="AL33">
            <v>2220</v>
          </cell>
          <cell r="AN33">
            <v>138.75</v>
          </cell>
          <cell r="AO33">
            <v>35</v>
          </cell>
          <cell r="AW33">
            <v>2393.75</v>
          </cell>
          <cell r="AX33">
            <v>50833.25</v>
          </cell>
          <cell r="AY33">
            <v>137</v>
          </cell>
          <cell r="AZ33">
            <v>150</v>
          </cell>
          <cell r="BA33">
            <v>150</v>
          </cell>
          <cell r="BB33">
            <v>822</v>
          </cell>
          <cell r="BD33">
            <v>31</v>
          </cell>
          <cell r="BE33">
            <v>31</v>
          </cell>
          <cell r="BF33">
            <v>31</v>
          </cell>
          <cell r="BG33">
            <v>0</v>
          </cell>
          <cell r="BH33">
            <v>6.3750000000000009</v>
          </cell>
          <cell r="BI33">
            <v>2.75</v>
          </cell>
          <cell r="BJ33">
            <v>1.25</v>
          </cell>
          <cell r="BK33">
            <v>0</v>
          </cell>
          <cell r="BN33">
            <v>4</v>
          </cell>
          <cell r="BO33">
            <v>0</v>
          </cell>
          <cell r="BR33">
            <v>0</v>
          </cell>
          <cell r="BS33">
            <v>0</v>
          </cell>
          <cell r="BV33">
            <v>0</v>
          </cell>
          <cell r="BW33">
            <v>0</v>
          </cell>
          <cell r="BX33">
            <v>31</v>
          </cell>
          <cell r="BY33">
            <v>0</v>
          </cell>
          <cell r="BZ33" t="str">
            <v>10Y   Left</v>
          </cell>
          <cell r="CA33">
            <v>47199</v>
          </cell>
          <cell r="CB33">
            <v>102171321436</v>
          </cell>
          <cell r="CC33">
            <v>6935845904</v>
          </cell>
          <cell r="CD33" t="str">
            <v>MP19R-2020-0039720</v>
          </cell>
          <cell r="CE33">
            <v>53227</v>
          </cell>
          <cell r="CF33">
            <v>2405</v>
          </cell>
          <cell r="CG33">
            <v>601.25</v>
          </cell>
          <cell r="CH33">
            <v>1541.05</v>
          </cell>
          <cell r="CI33">
            <v>484</v>
          </cell>
          <cell r="CJ33">
            <v>0</v>
          </cell>
          <cell r="CK33">
            <v>64</v>
          </cell>
          <cell r="CL33">
            <v>740</v>
          </cell>
          <cell r="CM33">
            <v>59062.3</v>
          </cell>
        </row>
        <row r="34">
          <cell r="D34" t="str">
            <v>1056</v>
          </cell>
          <cell r="E34" t="str">
            <v>RAJVEER SINGH</v>
          </cell>
          <cell r="F34" t="str">
            <v>Driver</v>
          </cell>
          <cell r="G34" t="str">
            <v>Transport</v>
          </cell>
          <cell r="H34" t="str">
            <v>Gurgaon</v>
          </cell>
          <cell r="I34">
            <v>45756</v>
          </cell>
          <cell r="J34" t="str">
            <v>HR/32843/10876</v>
          </cell>
          <cell r="K34" t="str">
            <v>ICQPS1205D</v>
          </cell>
          <cell r="L34" t="str">
            <v>HDFC</v>
          </cell>
          <cell r="M34" t="str">
            <v>50100798009534</v>
          </cell>
          <cell r="N34">
            <v>48725</v>
          </cell>
          <cell r="O34">
            <v>21000</v>
          </cell>
          <cell r="P34">
            <v>18500</v>
          </cell>
          <cell r="Q34">
            <v>2500</v>
          </cell>
          <cell r="V34">
            <v>17306</v>
          </cell>
          <cell r="W34">
            <v>2339</v>
          </cell>
          <cell r="X34">
            <v>0</v>
          </cell>
          <cell r="Y34">
            <v>0</v>
          </cell>
          <cell r="Z34">
            <v>0</v>
          </cell>
          <cell r="AA34">
            <v>0</v>
          </cell>
          <cell r="AB34">
            <v>15720.75</v>
          </cell>
          <cell r="AC34">
            <v>1650</v>
          </cell>
          <cell r="AD34">
            <v>0</v>
          </cell>
          <cell r="AE34">
            <v>0</v>
          </cell>
          <cell r="AG34">
            <v>0</v>
          </cell>
          <cell r="AK34">
            <v>37015.75</v>
          </cell>
          <cell r="AL34">
            <v>2077</v>
          </cell>
          <cell r="AN34">
            <v>129.79499999999999</v>
          </cell>
          <cell r="AO34">
            <v>35</v>
          </cell>
          <cell r="AW34">
            <v>2241.7950000000001</v>
          </cell>
          <cell r="AX34">
            <v>34773.955000000002</v>
          </cell>
          <cell r="AY34">
            <v>137</v>
          </cell>
          <cell r="AZ34">
            <v>150</v>
          </cell>
          <cell r="BA34">
            <v>150</v>
          </cell>
          <cell r="BB34">
            <v>822</v>
          </cell>
          <cell r="BD34">
            <v>31</v>
          </cell>
          <cell r="BE34">
            <v>29</v>
          </cell>
          <cell r="BF34">
            <v>22</v>
          </cell>
          <cell r="BG34">
            <v>2</v>
          </cell>
          <cell r="BH34">
            <v>4.7812500000000009</v>
          </cell>
          <cell r="BI34">
            <v>1.75</v>
          </cell>
          <cell r="BJ34">
            <v>1.25</v>
          </cell>
          <cell r="BK34">
            <v>3</v>
          </cell>
          <cell r="BN34">
            <v>0</v>
          </cell>
          <cell r="BO34">
            <v>0</v>
          </cell>
          <cell r="BR34">
            <v>0</v>
          </cell>
          <cell r="BS34">
            <v>0</v>
          </cell>
          <cell r="BV34">
            <v>0</v>
          </cell>
          <cell r="BW34">
            <v>4</v>
          </cell>
          <cell r="BX34">
            <v>29</v>
          </cell>
          <cell r="BY34">
            <v>2</v>
          </cell>
          <cell r="BZ34" t="str">
            <v>6Y   Left</v>
          </cell>
          <cell r="CA34">
            <v>37015.75</v>
          </cell>
          <cell r="CB34">
            <v>101147695580</v>
          </cell>
          <cell r="CC34">
            <v>6927101157</v>
          </cell>
          <cell r="CD34" t="str">
            <v>UP92 20130002917</v>
          </cell>
          <cell r="CE34">
            <v>37015.75</v>
          </cell>
          <cell r="CF34">
            <v>2249.7800000000002</v>
          </cell>
          <cell r="CG34">
            <v>562.44500000000005</v>
          </cell>
          <cell r="CH34">
            <v>1441.5898</v>
          </cell>
          <cell r="CI34">
            <v>487</v>
          </cell>
          <cell r="CJ34">
            <v>0</v>
          </cell>
          <cell r="CK34">
            <v>66</v>
          </cell>
          <cell r="CL34">
            <v>692.24</v>
          </cell>
          <cell r="CM34">
            <v>42514.804799999998</v>
          </cell>
        </row>
        <row r="35">
          <cell r="D35" t="str">
            <v>0312</v>
          </cell>
          <cell r="E35" t="str">
            <v>VISHNU DEV PASWAN</v>
          </cell>
          <cell r="F35" t="str">
            <v>Driver</v>
          </cell>
          <cell r="G35" t="str">
            <v>Transport</v>
          </cell>
          <cell r="H35" t="str">
            <v>Gurgaon</v>
          </cell>
          <cell r="I35">
            <v>45757</v>
          </cell>
          <cell r="J35" t="str">
            <v xml:space="preserve">HR/32843/10136  </v>
          </cell>
          <cell r="K35" t="str">
            <v>ALQPP5448J</v>
          </cell>
          <cell r="L35" t="str">
            <v>HDFC</v>
          </cell>
          <cell r="M35" t="str">
            <v>50100186820887</v>
          </cell>
          <cell r="N35" t="str">
            <v>09-01-2035</v>
          </cell>
          <cell r="O35">
            <v>26264</v>
          </cell>
          <cell r="P35">
            <v>18500</v>
          </cell>
          <cell r="Q35">
            <v>7764</v>
          </cell>
          <cell r="V35">
            <v>18500</v>
          </cell>
          <cell r="W35">
            <v>7764</v>
          </cell>
          <cell r="X35">
            <v>0</v>
          </cell>
          <cell r="Y35">
            <v>0</v>
          </cell>
          <cell r="Z35">
            <v>0</v>
          </cell>
          <cell r="AA35">
            <v>0</v>
          </cell>
          <cell r="AB35">
            <v>7715.383333333335</v>
          </cell>
          <cell r="AC35">
            <v>1200</v>
          </cell>
          <cell r="AD35">
            <v>1644</v>
          </cell>
          <cell r="AG35">
            <v>0</v>
          </cell>
          <cell r="AK35">
            <v>36823.383333333331</v>
          </cell>
          <cell r="AL35">
            <v>2220</v>
          </cell>
          <cell r="AM35">
            <v>732</v>
          </cell>
          <cell r="AN35">
            <v>138.75</v>
          </cell>
          <cell r="AO35">
            <v>35</v>
          </cell>
          <cell r="AT35">
            <v>3000</v>
          </cell>
          <cell r="AW35">
            <v>6125.75</v>
          </cell>
          <cell r="AX35">
            <v>30697.633333333331</v>
          </cell>
          <cell r="AY35">
            <v>137</v>
          </cell>
          <cell r="AZ35">
            <v>150</v>
          </cell>
          <cell r="BA35">
            <v>150</v>
          </cell>
          <cell r="BB35">
            <v>822</v>
          </cell>
          <cell r="BD35">
            <v>31</v>
          </cell>
          <cell r="BE35">
            <v>31</v>
          </cell>
          <cell r="BF35">
            <v>29</v>
          </cell>
          <cell r="BG35">
            <v>0</v>
          </cell>
          <cell r="BH35">
            <v>2.3465277777777778</v>
          </cell>
          <cell r="BI35">
            <v>8.75</v>
          </cell>
          <cell r="BJ35">
            <v>1.25</v>
          </cell>
          <cell r="BK35">
            <v>0</v>
          </cell>
          <cell r="BN35">
            <v>10</v>
          </cell>
          <cell r="BO35">
            <v>0</v>
          </cell>
          <cell r="BR35">
            <v>0</v>
          </cell>
          <cell r="BS35">
            <v>0</v>
          </cell>
          <cell r="BV35">
            <v>0</v>
          </cell>
          <cell r="BW35">
            <v>2</v>
          </cell>
          <cell r="BX35">
            <v>31</v>
          </cell>
          <cell r="BY35">
            <v>0</v>
          </cell>
          <cell r="BZ35" t="str">
            <v>8Y   Left</v>
          </cell>
          <cell r="CA35">
            <v>36823.383333333331</v>
          </cell>
          <cell r="CB35">
            <v>100698616703</v>
          </cell>
          <cell r="CC35" t="str">
            <v>6925651908</v>
          </cell>
          <cell r="CD35" t="str">
            <v>HR5520120221861</v>
          </cell>
          <cell r="CE35">
            <v>36823.383333333331</v>
          </cell>
          <cell r="CF35">
            <v>2405</v>
          </cell>
          <cell r="CG35">
            <v>601.25</v>
          </cell>
          <cell r="CH35">
            <v>1541.05</v>
          </cell>
          <cell r="CI35">
            <v>489</v>
          </cell>
          <cell r="CJ35">
            <v>732</v>
          </cell>
          <cell r="CK35">
            <v>68</v>
          </cell>
          <cell r="CL35">
            <v>740</v>
          </cell>
          <cell r="CM35">
            <v>43399.683333333334</v>
          </cell>
        </row>
        <row r="36">
          <cell r="D36" t="str">
            <v>1060</v>
          </cell>
          <cell r="E36" t="str">
            <v>GUFRAN HUSSAIN</v>
          </cell>
          <cell r="F36" t="str">
            <v>Driver</v>
          </cell>
          <cell r="G36" t="str">
            <v>Transport</v>
          </cell>
          <cell r="H36" t="str">
            <v>Delhi</v>
          </cell>
          <cell r="I36">
            <v>45832</v>
          </cell>
          <cell r="J36" t="str">
            <v xml:space="preserve">HR/32843/10898  </v>
          </cell>
          <cell r="K36" t="str">
            <v>AFSPH6520F</v>
          </cell>
          <cell r="L36" t="str">
            <v>HDFC</v>
          </cell>
          <cell r="M36" t="str">
            <v>50100843007751</v>
          </cell>
          <cell r="N36" t="str">
            <v>14-12-2034</v>
          </cell>
          <cell r="O36">
            <v>26650</v>
          </cell>
          <cell r="P36">
            <v>18500</v>
          </cell>
          <cell r="Q36">
            <v>8150</v>
          </cell>
          <cell r="V36">
            <v>18500</v>
          </cell>
          <cell r="W36">
            <v>8150</v>
          </cell>
          <cell r="X36">
            <v>0</v>
          </cell>
          <cell r="Y36">
            <v>0</v>
          </cell>
          <cell r="Z36">
            <v>0</v>
          </cell>
          <cell r="AA36">
            <v>0</v>
          </cell>
          <cell r="AB36">
            <v>4338.333333333333</v>
          </cell>
          <cell r="AC36">
            <v>450</v>
          </cell>
          <cell r="AD36">
            <v>1644</v>
          </cell>
          <cell r="AG36">
            <v>0</v>
          </cell>
          <cell r="AK36">
            <v>33082.333333333328</v>
          </cell>
          <cell r="AL36">
            <v>2220</v>
          </cell>
          <cell r="AM36">
            <v>424</v>
          </cell>
          <cell r="AN36">
            <v>138.75</v>
          </cell>
          <cell r="AO36">
            <v>35</v>
          </cell>
          <cell r="AW36">
            <v>2817.75</v>
          </cell>
          <cell r="AX36">
            <v>30264.583333333328</v>
          </cell>
          <cell r="AY36">
            <v>137</v>
          </cell>
          <cell r="AZ36">
            <v>150</v>
          </cell>
          <cell r="BA36">
            <v>150</v>
          </cell>
          <cell r="BB36">
            <v>822</v>
          </cell>
          <cell r="BD36">
            <v>31</v>
          </cell>
          <cell r="BE36">
            <v>31</v>
          </cell>
          <cell r="BF36">
            <v>29</v>
          </cell>
          <cell r="BG36">
            <v>0</v>
          </cell>
          <cell r="BH36">
            <v>1.3194444444444442</v>
          </cell>
          <cell r="BI36">
            <v>14</v>
          </cell>
          <cell r="BJ36">
            <v>1.25</v>
          </cell>
          <cell r="BK36">
            <v>0</v>
          </cell>
          <cell r="BN36">
            <v>15.25</v>
          </cell>
          <cell r="BO36">
            <v>0</v>
          </cell>
          <cell r="BR36">
            <v>0</v>
          </cell>
          <cell r="BS36">
            <v>0</v>
          </cell>
          <cell r="BV36">
            <v>0</v>
          </cell>
          <cell r="BW36">
            <v>2</v>
          </cell>
          <cell r="BX36">
            <v>31</v>
          </cell>
          <cell r="BY36">
            <v>0</v>
          </cell>
          <cell r="BZ36" t="str">
            <v>8Y   Left</v>
          </cell>
          <cell r="CA36">
            <v>33082.333333333328</v>
          </cell>
          <cell r="CB36">
            <v>102217663996</v>
          </cell>
          <cell r="CC36" t="str">
            <v>6937154921</v>
          </cell>
          <cell r="CD36" t="str">
            <v>DL03 20049477981</v>
          </cell>
          <cell r="CE36">
            <v>33082.333333333328</v>
          </cell>
          <cell r="CF36">
            <v>2405</v>
          </cell>
          <cell r="CG36">
            <v>601.25</v>
          </cell>
          <cell r="CH36">
            <v>1541.05</v>
          </cell>
          <cell r="CI36">
            <v>490</v>
          </cell>
          <cell r="CJ36">
            <v>424</v>
          </cell>
          <cell r="CK36">
            <v>69</v>
          </cell>
          <cell r="CL36">
            <v>740</v>
          </cell>
          <cell r="CM36">
            <v>39352.633333333331</v>
          </cell>
        </row>
        <row r="37">
          <cell r="D37" t="str">
            <v>1062</v>
          </cell>
          <cell r="E37" t="str">
            <v xml:space="preserve">DEEPAK    </v>
          </cell>
          <cell r="F37" t="str">
            <v>Driver</v>
          </cell>
          <cell r="G37" t="str">
            <v>Transport</v>
          </cell>
          <cell r="H37" t="str">
            <v>Delhi</v>
          </cell>
          <cell r="I37">
            <v>45847</v>
          </cell>
          <cell r="J37" t="str">
            <v xml:space="preserve">HR/32843/10905  </v>
          </cell>
          <cell r="K37" t="str">
            <v>AXPPD5042</v>
          </cell>
          <cell r="L37" t="str">
            <v>HDFC</v>
          </cell>
          <cell r="M37" t="str">
            <v>50100828280855</v>
          </cell>
          <cell r="N37" t="str">
            <v>12-04-2031</v>
          </cell>
          <cell r="O37">
            <v>26650</v>
          </cell>
          <cell r="P37">
            <v>18500</v>
          </cell>
          <cell r="Q37">
            <v>8150</v>
          </cell>
          <cell r="V37">
            <v>18500</v>
          </cell>
          <cell r="W37">
            <v>8150</v>
          </cell>
          <cell r="X37">
            <v>0</v>
          </cell>
          <cell r="Y37">
            <v>0</v>
          </cell>
          <cell r="Z37">
            <v>0</v>
          </cell>
          <cell r="AA37">
            <v>0</v>
          </cell>
          <cell r="AB37">
            <v>4196.7666666666664</v>
          </cell>
          <cell r="AC37">
            <v>450</v>
          </cell>
          <cell r="AD37">
            <v>822</v>
          </cell>
          <cell r="AE37">
            <v>500</v>
          </cell>
          <cell r="AG37">
            <v>0</v>
          </cell>
          <cell r="AK37">
            <v>32618.766666666666</v>
          </cell>
          <cell r="AL37">
            <v>2220</v>
          </cell>
          <cell r="AM37">
            <v>384</v>
          </cell>
          <cell r="AN37">
            <v>138.75</v>
          </cell>
          <cell r="AO37">
            <v>35</v>
          </cell>
          <cell r="AW37">
            <v>2777.75</v>
          </cell>
          <cell r="AX37">
            <v>29841.016666666666</v>
          </cell>
          <cell r="AY37">
            <v>137</v>
          </cell>
          <cell r="AZ37">
            <v>150</v>
          </cell>
          <cell r="BA37">
            <v>150</v>
          </cell>
          <cell r="BB37">
            <v>822</v>
          </cell>
          <cell r="BD37">
            <v>31</v>
          </cell>
          <cell r="BE37">
            <v>31</v>
          </cell>
          <cell r="BF37">
            <v>28</v>
          </cell>
          <cell r="BG37">
            <v>0</v>
          </cell>
          <cell r="BH37">
            <v>1.2763888888888886</v>
          </cell>
          <cell r="BI37">
            <v>1</v>
          </cell>
          <cell r="BJ37">
            <v>1.25</v>
          </cell>
          <cell r="BK37">
            <v>0</v>
          </cell>
          <cell r="BN37">
            <v>2.25</v>
          </cell>
          <cell r="BO37">
            <v>0</v>
          </cell>
          <cell r="BR37">
            <v>0</v>
          </cell>
          <cell r="BS37">
            <v>0</v>
          </cell>
          <cell r="BV37">
            <v>0</v>
          </cell>
          <cell r="BW37">
            <v>3</v>
          </cell>
          <cell r="BX37">
            <v>31</v>
          </cell>
          <cell r="BY37">
            <v>0</v>
          </cell>
          <cell r="BZ37" t="str">
            <v>4Y   Left</v>
          </cell>
          <cell r="CA37">
            <v>32118.766666666666</v>
          </cell>
          <cell r="CB37">
            <v>102224828295</v>
          </cell>
          <cell r="CC37" t="str">
            <v>6937155303</v>
          </cell>
          <cell r="CD37" t="str">
            <v>DL-0820110106504</v>
          </cell>
          <cell r="CE37">
            <v>32618.766666666666</v>
          </cell>
          <cell r="CF37">
            <v>2405</v>
          </cell>
          <cell r="CG37">
            <v>601.25</v>
          </cell>
          <cell r="CH37">
            <v>1541.05</v>
          </cell>
          <cell r="CI37">
            <v>492</v>
          </cell>
          <cell r="CJ37">
            <v>384</v>
          </cell>
          <cell r="CK37">
            <v>71</v>
          </cell>
          <cell r="CL37">
            <v>740</v>
          </cell>
          <cell r="CM37">
            <v>38853.066666666666</v>
          </cell>
        </row>
        <row r="38">
          <cell r="D38" t="str">
            <v>1063</v>
          </cell>
          <cell r="E38" t="str">
            <v>MISHRA SHYAM SHANKAR</v>
          </cell>
          <cell r="F38" t="str">
            <v>Driver</v>
          </cell>
          <cell r="G38" t="str">
            <v>Transport</v>
          </cell>
          <cell r="H38" t="str">
            <v>Surat</v>
          </cell>
          <cell r="I38">
            <v>45839</v>
          </cell>
          <cell r="J38" t="str">
            <v xml:space="preserve">HR/32843/10900  </v>
          </cell>
          <cell r="K38" t="str">
            <v>BVUPM5943G</v>
          </cell>
          <cell r="L38" t="str">
            <v>UBIN</v>
          </cell>
          <cell r="M38" t="str">
            <v>300722010000640</v>
          </cell>
          <cell r="N38" t="str">
            <v>10-09-2030</v>
          </cell>
          <cell r="O38">
            <v>21000</v>
          </cell>
          <cell r="P38">
            <v>18500</v>
          </cell>
          <cell r="Q38">
            <v>2500</v>
          </cell>
          <cell r="V38">
            <v>18500</v>
          </cell>
          <cell r="W38">
            <v>2500</v>
          </cell>
          <cell r="X38">
            <v>0</v>
          </cell>
          <cell r="Y38">
            <v>0</v>
          </cell>
          <cell r="Z38">
            <v>0</v>
          </cell>
          <cell r="AA38">
            <v>0</v>
          </cell>
          <cell r="AB38">
            <v>0</v>
          </cell>
          <cell r="AC38">
            <v>0</v>
          </cell>
          <cell r="AD38">
            <v>0</v>
          </cell>
          <cell r="AE38">
            <v>0</v>
          </cell>
          <cell r="AG38">
            <v>7239</v>
          </cell>
          <cell r="AK38">
            <v>28239</v>
          </cell>
          <cell r="AL38">
            <v>2220</v>
          </cell>
          <cell r="AN38">
            <v>138.75</v>
          </cell>
          <cell r="AW38">
            <v>2358.75</v>
          </cell>
          <cell r="AX38">
            <v>25880.25</v>
          </cell>
          <cell r="AY38">
            <v>137</v>
          </cell>
          <cell r="AZ38">
            <v>150</v>
          </cell>
          <cell r="BA38">
            <v>150</v>
          </cell>
          <cell r="BB38">
            <v>822</v>
          </cell>
          <cell r="BD38">
            <v>31</v>
          </cell>
          <cell r="BE38">
            <v>31</v>
          </cell>
          <cell r="BF38">
            <v>27</v>
          </cell>
          <cell r="BG38">
            <v>0</v>
          </cell>
          <cell r="BH38">
            <v>0</v>
          </cell>
          <cell r="BI38">
            <v>10.75</v>
          </cell>
          <cell r="BJ38">
            <v>1.25</v>
          </cell>
          <cell r="BK38">
            <v>0</v>
          </cell>
          <cell r="BN38">
            <v>12</v>
          </cell>
          <cell r="BO38">
            <v>0</v>
          </cell>
          <cell r="BR38">
            <v>0</v>
          </cell>
          <cell r="BS38">
            <v>0</v>
          </cell>
          <cell r="BV38">
            <v>0</v>
          </cell>
          <cell r="BW38">
            <v>4</v>
          </cell>
          <cell r="BX38">
            <v>31</v>
          </cell>
          <cell r="BY38">
            <v>0</v>
          </cell>
          <cell r="BZ38" t="str">
            <v>4Y   Left</v>
          </cell>
          <cell r="CA38">
            <v>21000</v>
          </cell>
          <cell r="CB38">
            <v>101957962398</v>
          </cell>
          <cell r="CC38">
            <v>3124180020</v>
          </cell>
          <cell r="CD38" t="str">
            <v>MH04 20129030850</v>
          </cell>
          <cell r="CE38">
            <v>28239</v>
          </cell>
          <cell r="CF38">
            <v>2405</v>
          </cell>
          <cell r="CG38">
            <v>601.25</v>
          </cell>
          <cell r="CH38">
            <v>1541.05</v>
          </cell>
          <cell r="CI38">
            <v>493</v>
          </cell>
          <cell r="CJ38">
            <v>0</v>
          </cell>
          <cell r="CK38">
            <v>72</v>
          </cell>
          <cell r="CL38">
            <v>740</v>
          </cell>
          <cell r="CM38">
            <v>34091.300000000003</v>
          </cell>
        </row>
        <row r="39">
          <cell r="D39" t="str">
            <v>1064</v>
          </cell>
          <cell r="E39" t="str">
            <v>DUKHI RAM</v>
          </cell>
          <cell r="F39" t="str">
            <v>Driver</v>
          </cell>
          <cell r="G39" t="str">
            <v>Transport</v>
          </cell>
          <cell r="H39" t="str">
            <v>Gurgaon</v>
          </cell>
          <cell r="I39">
            <v>45873</v>
          </cell>
          <cell r="J39" t="str">
            <v xml:space="preserve">HR/32843/10922  </v>
          </cell>
          <cell r="K39" t="str">
            <v>GCSPR9897G</v>
          </cell>
          <cell r="L39" t="str">
            <v>HDFC</v>
          </cell>
          <cell r="M39" t="str">
            <v>50100756351335</v>
          </cell>
          <cell r="N39">
            <v>48501</v>
          </cell>
          <cell r="O39">
            <v>21000</v>
          </cell>
          <cell r="P39">
            <v>18500</v>
          </cell>
          <cell r="Q39">
            <v>2500</v>
          </cell>
          <cell r="V39">
            <v>18500</v>
          </cell>
          <cell r="W39">
            <v>2500</v>
          </cell>
          <cell r="X39">
            <v>0</v>
          </cell>
          <cell r="Y39">
            <v>0</v>
          </cell>
          <cell r="Z39">
            <v>0</v>
          </cell>
          <cell r="AA39">
            <v>0</v>
          </cell>
          <cell r="AB39">
            <v>8813.6666666666661</v>
          </cell>
          <cell r="AC39">
            <v>1500</v>
          </cell>
          <cell r="AD39">
            <v>3288</v>
          </cell>
          <cell r="AE39">
            <v>0</v>
          </cell>
          <cell r="AG39">
            <v>0</v>
          </cell>
          <cell r="AK39">
            <v>34601.666666666664</v>
          </cell>
          <cell r="AL39">
            <v>2220</v>
          </cell>
          <cell r="AN39">
            <v>138.75</v>
          </cell>
          <cell r="AO39">
            <v>35</v>
          </cell>
          <cell r="AW39">
            <v>2393.75</v>
          </cell>
          <cell r="AX39">
            <v>32207.916666666664</v>
          </cell>
          <cell r="AY39">
            <v>137</v>
          </cell>
          <cell r="AZ39">
            <v>150</v>
          </cell>
          <cell r="BA39">
            <v>150</v>
          </cell>
          <cell r="BB39">
            <v>822</v>
          </cell>
          <cell r="BD39">
            <v>31</v>
          </cell>
          <cell r="BE39">
            <v>31</v>
          </cell>
          <cell r="BF39">
            <v>31</v>
          </cell>
          <cell r="BG39">
            <v>0</v>
          </cell>
          <cell r="BH39">
            <v>2.6805555555555558</v>
          </cell>
          <cell r="BI39">
            <v>13.75</v>
          </cell>
          <cell r="BJ39">
            <v>1.25</v>
          </cell>
          <cell r="BK39">
            <v>0</v>
          </cell>
          <cell r="BN39">
            <v>15</v>
          </cell>
          <cell r="BO39">
            <v>0</v>
          </cell>
          <cell r="BR39">
            <v>0</v>
          </cell>
          <cell r="BS39">
            <v>0</v>
          </cell>
          <cell r="BV39">
            <v>0</v>
          </cell>
          <cell r="BW39">
            <v>0</v>
          </cell>
          <cell r="BX39">
            <v>31</v>
          </cell>
          <cell r="BY39">
            <v>0</v>
          </cell>
          <cell r="BZ39" t="str">
            <v>6Y   Left</v>
          </cell>
          <cell r="CA39">
            <v>34601.666666666664</v>
          </cell>
          <cell r="CB39">
            <v>102237756998</v>
          </cell>
          <cell r="CC39">
            <v>6936451084</v>
          </cell>
          <cell r="CD39" t="str">
            <v>DL1 20220128871</v>
          </cell>
          <cell r="CE39">
            <v>34601.666666666664</v>
          </cell>
          <cell r="CF39">
            <v>2405</v>
          </cell>
          <cell r="CG39">
            <v>601.25</v>
          </cell>
          <cell r="CH39">
            <v>1541.05</v>
          </cell>
          <cell r="CI39">
            <v>494</v>
          </cell>
          <cell r="CJ39">
            <v>0</v>
          </cell>
          <cell r="CK39">
            <v>73</v>
          </cell>
          <cell r="CL39">
            <v>740</v>
          </cell>
          <cell r="CM39">
            <v>40455.966666666667</v>
          </cell>
        </row>
        <row r="40">
          <cell r="D40">
            <v>1065</v>
          </cell>
          <cell r="E40" t="str">
            <v>RANDHIR KUMAR</v>
          </cell>
          <cell r="F40" t="str">
            <v>Driver</v>
          </cell>
          <cell r="G40" t="str">
            <v>Transport</v>
          </cell>
          <cell r="H40" t="str">
            <v>Gurgaon</v>
          </cell>
          <cell r="I40">
            <v>45901</v>
          </cell>
          <cell r="J40" t="str">
            <v xml:space="preserve">HR/32843/10926  </v>
          </cell>
          <cell r="K40" t="str">
            <v>CCBPK3931R</v>
          </cell>
          <cell r="L40" t="str">
            <v>HDFC</v>
          </cell>
          <cell r="M40" t="str">
            <v>50100843009830</v>
          </cell>
          <cell r="N40">
            <v>48196</v>
          </cell>
          <cell r="O40">
            <v>21000</v>
          </cell>
          <cell r="P40">
            <v>18500</v>
          </cell>
          <cell r="Q40">
            <v>2500</v>
          </cell>
          <cell r="V40">
            <v>18500</v>
          </cell>
          <cell r="W40">
            <v>2500</v>
          </cell>
          <cell r="X40">
            <v>0</v>
          </cell>
          <cell r="Y40">
            <v>0</v>
          </cell>
          <cell r="Z40">
            <v>0</v>
          </cell>
          <cell r="AA40">
            <v>0</v>
          </cell>
          <cell r="AB40">
            <v>13254.750000000002</v>
          </cell>
          <cell r="AC40">
            <v>2550</v>
          </cell>
          <cell r="AD40">
            <v>1644</v>
          </cell>
          <cell r="AE40">
            <v>0</v>
          </cell>
          <cell r="AG40">
            <v>0</v>
          </cell>
          <cell r="AK40">
            <v>38448.75</v>
          </cell>
          <cell r="AL40">
            <v>2220</v>
          </cell>
          <cell r="AN40">
            <v>138.75</v>
          </cell>
          <cell r="AO40">
            <v>35</v>
          </cell>
          <cell r="AW40">
            <v>2393.75</v>
          </cell>
          <cell r="AX40">
            <v>36055</v>
          </cell>
          <cell r="AY40">
            <v>137</v>
          </cell>
          <cell r="AZ40">
            <v>150</v>
          </cell>
          <cell r="BA40">
            <v>150</v>
          </cell>
          <cell r="BB40">
            <v>822</v>
          </cell>
          <cell r="BD40">
            <v>31</v>
          </cell>
          <cell r="BE40">
            <v>31</v>
          </cell>
          <cell r="BF40">
            <v>29</v>
          </cell>
          <cell r="BG40">
            <v>0</v>
          </cell>
          <cell r="BH40">
            <v>4.0312500000000018</v>
          </cell>
          <cell r="BI40">
            <v>0.5</v>
          </cell>
          <cell r="BJ40">
            <v>1.25</v>
          </cell>
          <cell r="BK40">
            <v>0</v>
          </cell>
          <cell r="BN40">
            <v>1.75</v>
          </cell>
          <cell r="BO40">
            <v>0</v>
          </cell>
          <cell r="BR40">
            <v>0</v>
          </cell>
          <cell r="BS40">
            <v>0</v>
          </cell>
          <cell r="BV40">
            <v>0</v>
          </cell>
          <cell r="BW40">
            <v>2</v>
          </cell>
          <cell r="BX40">
            <v>31</v>
          </cell>
          <cell r="BY40">
            <v>0</v>
          </cell>
          <cell r="BZ40" t="str">
            <v>5Y   Left</v>
          </cell>
          <cell r="CA40">
            <v>38448.75</v>
          </cell>
          <cell r="CB40">
            <v>101659500903</v>
          </cell>
          <cell r="CC40">
            <v>6936540839</v>
          </cell>
          <cell r="CD40" t="str">
            <v>DL1 20220128871</v>
          </cell>
          <cell r="CE40">
            <v>38448.75</v>
          </cell>
          <cell r="CF40">
            <v>2405</v>
          </cell>
          <cell r="CG40">
            <v>601.25</v>
          </cell>
          <cell r="CH40">
            <v>1541.05</v>
          </cell>
          <cell r="CI40">
            <v>495</v>
          </cell>
          <cell r="CJ40">
            <v>0</v>
          </cell>
          <cell r="CK40">
            <v>74</v>
          </cell>
          <cell r="CL40">
            <v>740</v>
          </cell>
          <cell r="CM40">
            <v>44305.05</v>
          </cell>
        </row>
        <row r="41">
          <cell r="D41" t="str">
            <v>1066</v>
          </cell>
          <cell r="E41" t="str">
            <v>AMIT KUMAR DAS</v>
          </cell>
          <cell r="F41" t="str">
            <v>Driver</v>
          </cell>
          <cell r="G41" t="str">
            <v>Transport</v>
          </cell>
          <cell r="H41" t="str">
            <v>Gurgaon</v>
          </cell>
          <cell r="I41">
            <v>45908</v>
          </cell>
          <cell r="J41" t="str">
            <v xml:space="preserve">HR/32843/10927  </v>
          </cell>
          <cell r="K41" t="str">
            <v>CHZPD4439C</v>
          </cell>
          <cell r="N41">
            <v>47514</v>
          </cell>
          <cell r="O41">
            <v>21000</v>
          </cell>
          <cell r="P41">
            <v>18500</v>
          </cell>
          <cell r="Q41">
            <v>2500</v>
          </cell>
          <cell r="V41">
            <v>18500</v>
          </cell>
          <cell r="W41">
            <v>2500</v>
          </cell>
          <cell r="X41">
            <v>0</v>
          </cell>
          <cell r="Y41">
            <v>0</v>
          </cell>
          <cell r="Z41">
            <v>0</v>
          </cell>
          <cell r="AA41">
            <v>0</v>
          </cell>
          <cell r="AB41">
            <v>13700</v>
          </cell>
          <cell r="AC41">
            <v>2550</v>
          </cell>
          <cell r="AD41">
            <v>0</v>
          </cell>
          <cell r="AE41">
            <v>0</v>
          </cell>
          <cell r="AG41">
            <v>500</v>
          </cell>
          <cell r="AK41">
            <v>37750</v>
          </cell>
          <cell r="AL41">
            <v>2220</v>
          </cell>
          <cell r="AN41">
            <v>138.75</v>
          </cell>
          <cell r="AO41">
            <v>35</v>
          </cell>
          <cell r="AT41">
            <v>2500</v>
          </cell>
          <cell r="AW41">
            <v>4893.75</v>
          </cell>
          <cell r="AX41">
            <v>32856.25</v>
          </cell>
          <cell r="AY41">
            <v>137</v>
          </cell>
          <cell r="AZ41">
            <v>150</v>
          </cell>
          <cell r="BA41">
            <v>150</v>
          </cell>
          <cell r="BB41">
            <v>822</v>
          </cell>
          <cell r="BD41">
            <v>31</v>
          </cell>
          <cell r="BE41">
            <v>31</v>
          </cell>
          <cell r="BF41">
            <v>27</v>
          </cell>
          <cell r="BG41">
            <v>0</v>
          </cell>
          <cell r="BH41">
            <v>4.1666666666666679</v>
          </cell>
          <cell r="BI41">
            <v>0.5</v>
          </cell>
          <cell r="BJ41">
            <v>1.25</v>
          </cell>
          <cell r="BK41">
            <v>1</v>
          </cell>
          <cell r="BN41">
            <v>0.75</v>
          </cell>
          <cell r="BO41">
            <v>0</v>
          </cell>
          <cell r="BR41">
            <v>0</v>
          </cell>
          <cell r="BS41">
            <v>0</v>
          </cell>
          <cell r="BV41">
            <v>0</v>
          </cell>
          <cell r="BW41">
            <v>3</v>
          </cell>
          <cell r="BX41">
            <v>31</v>
          </cell>
          <cell r="BY41">
            <v>0</v>
          </cell>
          <cell r="BZ41" t="str">
            <v>3Y   Left</v>
          </cell>
          <cell r="CA41">
            <v>37250</v>
          </cell>
          <cell r="CB41" t="str">
            <v>100720274139</v>
          </cell>
          <cell r="CC41">
            <v>2016089822</v>
          </cell>
          <cell r="CD41" t="str">
            <v>DL1 20220128871</v>
          </cell>
          <cell r="CE41">
            <v>37750</v>
          </cell>
          <cell r="CF41">
            <v>2405</v>
          </cell>
          <cell r="CG41">
            <v>601.25</v>
          </cell>
          <cell r="CH41">
            <v>1541.05</v>
          </cell>
          <cell r="CI41">
            <v>496</v>
          </cell>
          <cell r="CJ41">
            <v>0</v>
          </cell>
          <cell r="CK41">
            <v>75</v>
          </cell>
          <cell r="CL41">
            <v>740</v>
          </cell>
          <cell r="CM41">
            <v>43608.3</v>
          </cell>
        </row>
        <row r="42">
          <cell r="D42" t="str">
            <v>0783</v>
          </cell>
          <cell r="E42" t="str">
            <v>MOHIT</v>
          </cell>
          <cell r="F42" t="str">
            <v>Driver</v>
          </cell>
          <cell r="G42" t="str">
            <v>Transport</v>
          </cell>
          <cell r="H42" t="str">
            <v>Gurgaon</v>
          </cell>
          <cell r="I42">
            <v>45901</v>
          </cell>
          <cell r="J42" t="str">
            <v>HR/32843/10404</v>
          </cell>
          <cell r="K42" t="str">
            <v>CAQPM4880E</v>
          </cell>
          <cell r="L42" t="str">
            <v>HDFC</v>
          </cell>
          <cell r="M42" t="str">
            <v>50100521051091</v>
          </cell>
          <cell r="N42">
            <v>49241</v>
          </cell>
          <cell r="O42">
            <v>26264</v>
          </cell>
          <cell r="P42">
            <v>18500</v>
          </cell>
          <cell r="Q42">
            <v>7764</v>
          </cell>
          <cell r="V42">
            <v>18500</v>
          </cell>
          <cell r="W42">
            <v>7764</v>
          </cell>
          <cell r="X42">
            <v>0</v>
          </cell>
          <cell r="Y42">
            <v>0</v>
          </cell>
          <cell r="Z42">
            <v>0</v>
          </cell>
          <cell r="AA42">
            <v>0</v>
          </cell>
          <cell r="AB42">
            <v>7443.6666666666661</v>
          </cell>
          <cell r="AC42">
            <v>1500</v>
          </cell>
          <cell r="AD42">
            <v>1644</v>
          </cell>
          <cell r="AE42">
            <v>822</v>
          </cell>
          <cell r="AG42">
            <v>0</v>
          </cell>
          <cell r="AK42">
            <v>37673.666666666664</v>
          </cell>
          <cell r="AL42">
            <v>2220</v>
          </cell>
          <cell r="AM42">
            <v>383</v>
          </cell>
          <cell r="AN42">
            <v>138.75</v>
          </cell>
          <cell r="AO42">
            <v>35</v>
          </cell>
          <cell r="AT42">
            <v>5900</v>
          </cell>
          <cell r="AW42">
            <v>8676.75</v>
          </cell>
          <cell r="AX42">
            <v>28996.916666666664</v>
          </cell>
          <cell r="AY42">
            <v>137</v>
          </cell>
          <cell r="AZ42">
            <v>150</v>
          </cell>
          <cell r="BA42">
            <v>150</v>
          </cell>
          <cell r="BB42">
            <v>822</v>
          </cell>
          <cell r="BD42">
            <v>31</v>
          </cell>
          <cell r="BE42">
            <v>31</v>
          </cell>
          <cell r="BF42">
            <v>27</v>
          </cell>
          <cell r="BG42">
            <v>0</v>
          </cell>
          <cell r="BH42">
            <v>2.2638888888888875</v>
          </cell>
          <cell r="BI42">
            <v>0.5</v>
          </cell>
          <cell r="BJ42">
            <v>1.25</v>
          </cell>
          <cell r="BK42">
            <v>2</v>
          </cell>
          <cell r="BN42">
            <v>-0.25</v>
          </cell>
          <cell r="BO42">
            <v>0</v>
          </cell>
          <cell r="BR42">
            <v>0</v>
          </cell>
          <cell r="BS42">
            <v>0</v>
          </cell>
          <cell r="BV42">
            <v>0</v>
          </cell>
          <cell r="BW42">
            <v>2</v>
          </cell>
          <cell r="BX42">
            <v>31</v>
          </cell>
          <cell r="BY42">
            <v>0</v>
          </cell>
          <cell r="BZ42" t="str">
            <v>8Y   Left</v>
          </cell>
          <cell r="CA42">
            <v>36851.666666666664</v>
          </cell>
          <cell r="CB42">
            <v>101791541096</v>
          </cell>
          <cell r="CC42" t="str">
            <v>6937176789</v>
          </cell>
          <cell r="CD42" t="str">
            <v>HR51 20130295155</v>
          </cell>
          <cell r="CE42">
            <v>37673.666666666664</v>
          </cell>
          <cell r="CF42">
            <v>2405</v>
          </cell>
          <cell r="CG42">
            <v>601.25</v>
          </cell>
          <cell r="CH42">
            <v>1541.05</v>
          </cell>
          <cell r="CI42">
            <v>497</v>
          </cell>
          <cell r="CJ42">
            <v>383</v>
          </cell>
          <cell r="CK42">
            <v>76</v>
          </cell>
          <cell r="CL42">
            <v>740</v>
          </cell>
          <cell r="CM42">
            <v>43916.966666666667</v>
          </cell>
        </row>
        <row r="43">
          <cell r="D43" t="str">
            <v>1069</v>
          </cell>
          <cell r="E43" t="str">
            <v>DURGA DUTT JOSHI</v>
          </cell>
          <cell r="F43" t="str">
            <v>Driver</v>
          </cell>
          <cell r="G43" t="str">
            <v>Transport</v>
          </cell>
          <cell r="H43" t="str">
            <v>Gurgaon</v>
          </cell>
          <cell r="I43">
            <v>45978</v>
          </cell>
          <cell r="J43" t="str">
            <v>HR/32843/10943</v>
          </cell>
          <cell r="K43" t="str">
            <v>AOQPJ5602M</v>
          </cell>
          <cell r="L43" t="str">
            <v>HDFC</v>
          </cell>
          <cell r="M43" t="str">
            <v>50100843011235</v>
          </cell>
          <cell r="N43">
            <v>48002</v>
          </cell>
          <cell r="O43">
            <v>21000</v>
          </cell>
          <cell r="P43">
            <v>18500</v>
          </cell>
          <cell r="Q43">
            <v>2500</v>
          </cell>
          <cell r="V43">
            <v>18500</v>
          </cell>
          <cell r="W43">
            <v>2500</v>
          </cell>
          <cell r="X43">
            <v>0</v>
          </cell>
          <cell r="Y43">
            <v>0</v>
          </cell>
          <cell r="Z43">
            <v>0</v>
          </cell>
          <cell r="AA43">
            <v>0</v>
          </cell>
          <cell r="AB43">
            <v>12889.416666666668</v>
          </cell>
          <cell r="AC43">
            <v>2100</v>
          </cell>
          <cell r="AD43">
            <v>1644</v>
          </cell>
          <cell r="AG43">
            <v>300</v>
          </cell>
          <cell r="AK43">
            <v>37933.416666666672</v>
          </cell>
          <cell r="AL43">
            <v>2220</v>
          </cell>
          <cell r="AN43">
            <v>138.75</v>
          </cell>
          <cell r="AO43">
            <v>35</v>
          </cell>
          <cell r="AW43">
            <v>2393.75</v>
          </cell>
          <cell r="AX43">
            <v>35539.666666666672</v>
          </cell>
          <cell r="AY43">
            <v>137</v>
          </cell>
          <cell r="AZ43">
            <v>150</v>
          </cell>
          <cell r="BA43">
            <v>150</v>
          </cell>
          <cell r="BB43">
            <v>822</v>
          </cell>
          <cell r="BD43">
            <v>31</v>
          </cell>
          <cell r="BE43">
            <v>31</v>
          </cell>
          <cell r="BF43">
            <v>29</v>
          </cell>
          <cell r="BG43">
            <v>0</v>
          </cell>
          <cell r="BH43">
            <v>3.9201388888888902</v>
          </cell>
          <cell r="BI43">
            <v>2</v>
          </cell>
          <cell r="BJ43">
            <v>1.25</v>
          </cell>
          <cell r="BK43">
            <v>0</v>
          </cell>
          <cell r="BN43">
            <v>3.25</v>
          </cell>
          <cell r="BO43">
            <v>0</v>
          </cell>
          <cell r="BR43">
            <v>0</v>
          </cell>
          <cell r="BS43">
            <v>0</v>
          </cell>
          <cell r="BV43">
            <v>0</v>
          </cell>
          <cell r="BW43">
            <v>2</v>
          </cell>
          <cell r="BX43">
            <v>31</v>
          </cell>
          <cell r="BY43">
            <v>0</v>
          </cell>
          <cell r="BZ43" t="str">
            <v>4Y   Left</v>
          </cell>
          <cell r="CA43">
            <v>37633.416666666672</v>
          </cell>
          <cell r="CB43">
            <v>100141741465</v>
          </cell>
          <cell r="CC43">
            <v>1113230368</v>
          </cell>
          <cell r="CD43" t="str">
            <v>HR51 20130295155</v>
          </cell>
          <cell r="CE43">
            <v>37933.416666666672</v>
          </cell>
          <cell r="CF43">
            <v>2405</v>
          </cell>
          <cell r="CG43">
            <v>601.25</v>
          </cell>
          <cell r="CH43">
            <v>1541.05</v>
          </cell>
          <cell r="CI43">
            <v>501</v>
          </cell>
          <cell r="CJ43">
            <v>0</v>
          </cell>
          <cell r="CK43">
            <v>80</v>
          </cell>
          <cell r="CL43">
            <v>740</v>
          </cell>
          <cell r="CM43">
            <v>43801.716666666674</v>
          </cell>
        </row>
        <row r="44">
          <cell r="D44" t="str">
            <v>1070</v>
          </cell>
          <cell r="E44" t="str">
            <v>JEEWAN SINGH</v>
          </cell>
          <cell r="F44" t="str">
            <v>Driver</v>
          </cell>
          <cell r="G44" t="str">
            <v>Transport</v>
          </cell>
          <cell r="H44" t="str">
            <v>Gurgaon</v>
          </cell>
          <cell r="I44">
            <v>45981</v>
          </cell>
          <cell r="J44" t="str">
            <v>HR/32843/10941</v>
          </cell>
          <cell r="K44" t="str">
            <v>KOMPS4906D</v>
          </cell>
          <cell r="L44" t="str">
            <v>HDFC</v>
          </cell>
          <cell r="M44" t="str">
            <v>50100837542416</v>
          </cell>
          <cell r="N44">
            <v>48729</v>
          </cell>
          <cell r="O44">
            <v>21000</v>
          </cell>
          <cell r="P44">
            <v>18500</v>
          </cell>
          <cell r="Q44">
            <v>2500</v>
          </cell>
          <cell r="V44">
            <v>18500</v>
          </cell>
          <cell r="W44">
            <v>2500</v>
          </cell>
          <cell r="X44">
            <v>0</v>
          </cell>
          <cell r="Y44">
            <v>0</v>
          </cell>
          <cell r="Z44">
            <v>0</v>
          </cell>
          <cell r="AA44">
            <v>0</v>
          </cell>
          <cell r="AB44">
            <v>12170.16666666667</v>
          </cell>
          <cell r="AC44">
            <v>2400</v>
          </cell>
          <cell r="AD44">
            <v>1644</v>
          </cell>
          <cell r="AE44">
            <v>0</v>
          </cell>
          <cell r="AG44">
            <v>0</v>
          </cell>
          <cell r="AK44">
            <v>37214.166666666672</v>
          </cell>
          <cell r="AL44">
            <v>2220</v>
          </cell>
          <cell r="AN44">
            <v>138.75</v>
          </cell>
          <cell r="AO44">
            <v>35</v>
          </cell>
          <cell r="AW44">
            <v>2393.75</v>
          </cell>
          <cell r="AX44">
            <v>34820.416666666672</v>
          </cell>
          <cell r="AY44">
            <v>137</v>
          </cell>
          <cell r="AZ44">
            <v>150</v>
          </cell>
          <cell r="BA44">
            <v>150</v>
          </cell>
          <cell r="BB44">
            <v>822</v>
          </cell>
          <cell r="BD44">
            <v>31</v>
          </cell>
          <cell r="BE44">
            <v>31</v>
          </cell>
          <cell r="BF44">
            <v>23</v>
          </cell>
          <cell r="BG44">
            <v>0</v>
          </cell>
          <cell r="BH44">
            <v>3.7013888888888888</v>
          </cell>
          <cell r="BI44">
            <v>6.75</v>
          </cell>
          <cell r="BJ44">
            <v>1.25</v>
          </cell>
          <cell r="BK44">
            <v>6</v>
          </cell>
          <cell r="BN44">
            <v>2</v>
          </cell>
          <cell r="BO44">
            <v>0</v>
          </cell>
          <cell r="BR44">
            <v>0</v>
          </cell>
          <cell r="BS44">
            <v>0</v>
          </cell>
          <cell r="BV44">
            <v>0</v>
          </cell>
          <cell r="BW44">
            <v>2</v>
          </cell>
          <cell r="BX44">
            <v>31</v>
          </cell>
          <cell r="BY44">
            <v>0</v>
          </cell>
          <cell r="BZ44" t="str">
            <v>6Y   Left</v>
          </cell>
          <cell r="CA44">
            <v>37214.166666666672</v>
          </cell>
          <cell r="CB44">
            <v>102068496240</v>
          </cell>
          <cell r="CC44">
            <v>6934751755</v>
          </cell>
          <cell r="CD44" t="str">
            <v>HR51 20130295155</v>
          </cell>
          <cell r="CE44">
            <v>37214.166666666672</v>
          </cell>
          <cell r="CF44">
            <v>2405</v>
          </cell>
          <cell r="CG44">
            <v>601.25</v>
          </cell>
          <cell r="CH44">
            <v>1541.05</v>
          </cell>
          <cell r="CI44">
            <v>502</v>
          </cell>
          <cell r="CJ44">
            <v>0</v>
          </cell>
          <cell r="CK44">
            <v>81</v>
          </cell>
          <cell r="CL44">
            <v>740</v>
          </cell>
          <cell r="CM44">
            <v>43084.466666666674</v>
          </cell>
        </row>
        <row r="45">
          <cell r="D45" t="str">
            <v>1071</v>
          </cell>
          <cell r="E45" t="str">
            <v>DEEPAK SHARMA</v>
          </cell>
          <cell r="F45" t="str">
            <v>Driver</v>
          </cell>
          <cell r="G45" t="str">
            <v>Transport</v>
          </cell>
          <cell r="H45" t="str">
            <v>Gurgaon</v>
          </cell>
          <cell r="I45">
            <v>45993</v>
          </cell>
          <cell r="J45" t="str">
            <v>HR/32843/10950</v>
          </cell>
          <cell r="K45" t="str">
            <v>FIRPS0918D</v>
          </cell>
          <cell r="L45" t="str">
            <v>HDFC</v>
          </cell>
          <cell r="M45" t="str">
            <v>50100399503682</v>
          </cell>
          <cell r="N45">
            <v>47877</v>
          </cell>
          <cell r="O45">
            <v>21000</v>
          </cell>
          <cell r="P45">
            <v>18500</v>
          </cell>
          <cell r="Q45">
            <v>2500</v>
          </cell>
          <cell r="V45">
            <v>18500</v>
          </cell>
          <cell r="W45">
            <v>2500</v>
          </cell>
          <cell r="X45">
            <v>0</v>
          </cell>
          <cell r="Y45">
            <v>0</v>
          </cell>
          <cell r="Z45">
            <v>0</v>
          </cell>
          <cell r="AA45">
            <v>0</v>
          </cell>
          <cell r="AB45">
            <v>4669.416666666667</v>
          </cell>
          <cell r="AC45">
            <v>750</v>
          </cell>
          <cell r="AD45">
            <v>0</v>
          </cell>
          <cell r="AE45">
            <v>0</v>
          </cell>
          <cell r="AG45">
            <v>0</v>
          </cell>
          <cell r="AJ45">
            <v>3080.5833333333321</v>
          </cell>
          <cell r="AK45">
            <v>29500</v>
          </cell>
          <cell r="AL45">
            <v>2220</v>
          </cell>
          <cell r="AN45">
            <v>138.75</v>
          </cell>
          <cell r="AO45">
            <v>35</v>
          </cell>
          <cell r="AW45">
            <v>2393.75</v>
          </cell>
          <cell r="AX45">
            <v>27106.25</v>
          </cell>
          <cell r="AY45">
            <v>137</v>
          </cell>
          <cell r="AZ45">
            <v>150</v>
          </cell>
          <cell r="BA45">
            <v>150</v>
          </cell>
          <cell r="BB45">
            <v>822</v>
          </cell>
          <cell r="BD45">
            <v>31</v>
          </cell>
          <cell r="BE45">
            <v>31</v>
          </cell>
          <cell r="BF45">
            <v>25</v>
          </cell>
          <cell r="BG45">
            <v>0</v>
          </cell>
          <cell r="BH45">
            <v>1.4201388888888888</v>
          </cell>
          <cell r="BI45">
            <v>6.75</v>
          </cell>
          <cell r="BJ45">
            <v>1.25</v>
          </cell>
          <cell r="BK45">
            <v>0</v>
          </cell>
          <cell r="BN45">
            <v>8</v>
          </cell>
          <cell r="BO45">
            <v>0</v>
          </cell>
          <cell r="BR45">
            <v>0</v>
          </cell>
          <cell r="BS45">
            <v>0</v>
          </cell>
          <cell r="BV45">
            <v>0</v>
          </cell>
          <cell r="BW45">
            <v>6</v>
          </cell>
          <cell r="BX45">
            <v>31</v>
          </cell>
          <cell r="BY45">
            <v>0</v>
          </cell>
          <cell r="BZ45" t="str">
            <v>4Y   Left</v>
          </cell>
          <cell r="CA45">
            <v>26419.416666666668</v>
          </cell>
          <cell r="CB45" t="str">
            <v>100958837771</v>
          </cell>
          <cell r="CC45">
            <v>6930837554</v>
          </cell>
          <cell r="CD45" t="str">
            <v>HR-5520110206078</v>
          </cell>
          <cell r="CE45">
            <v>29500</v>
          </cell>
          <cell r="CF45">
            <v>2405</v>
          </cell>
          <cell r="CG45">
            <v>601.25</v>
          </cell>
          <cell r="CH45">
            <v>1541.05</v>
          </cell>
          <cell r="CI45">
            <v>503</v>
          </cell>
          <cell r="CJ45">
            <v>0</v>
          </cell>
          <cell r="CK45">
            <v>82</v>
          </cell>
          <cell r="CL45">
            <v>740</v>
          </cell>
          <cell r="CM45">
            <v>35372.300000000003</v>
          </cell>
        </row>
        <row r="46">
          <cell r="D46" t="str">
            <v>1073</v>
          </cell>
          <cell r="E46" t="str">
            <v>SURESH KUMAR YADAV</v>
          </cell>
          <cell r="F46" t="str">
            <v>Driver</v>
          </cell>
          <cell r="G46" t="str">
            <v>Transport</v>
          </cell>
          <cell r="H46" t="str">
            <v>Gurgaon</v>
          </cell>
          <cell r="I46">
            <v>46038</v>
          </cell>
          <cell r="J46" t="str">
            <v>HR/32843/10956</v>
          </cell>
          <cell r="K46" t="str">
            <v>ACKPY5525E</v>
          </cell>
          <cell r="L46" t="str">
            <v>HDFC</v>
          </cell>
          <cell r="M46" t="str">
            <v>50100858346864</v>
          </cell>
          <cell r="N46">
            <v>46688</v>
          </cell>
          <cell r="O46">
            <v>21000</v>
          </cell>
          <cell r="P46">
            <v>18500</v>
          </cell>
          <cell r="Q46">
            <v>2500</v>
          </cell>
          <cell r="V46">
            <v>18500</v>
          </cell>
          <cell r="W46">
            <v>2500</v>
          </cell>
          <cell r="X46">
            <v>0</v>
          </cell>
          <cell r="Y46">
            <v>0</v>
          </cell>
          <cell r="Z46">
            <v>0</v>
          </cell>
          <cell r="AA46">
            <v>0</v>
          </cell>
          <cell r="AC46">
            <v>300</v>
          </cell>
          <cell r="AD46">
            <v>0</v>
          </cell>
          <cell r="AE46">
            <v>0</v>
          </cell>
          <cell r="AG46">
            <v>20614</v>
          </cell>
          <cell r="AK46">
            <v>41914</v>
          </cell>
          <cell r="AL46">
            <v>2220</v>
          </cell>
          <cell r="AN46">
            <v>138.75</v>
          </cell>
          <cell r="AO46">
            <v>35</v>
          </cell>
          <cell r="AV46">
            <v>302</v>
          </cell>
          <cell r="AW46">
            <v>2695.75</v>
          </cell>
          <cell r="AX46">
            <v>39218.25</v>
          </cell>
          <cell r="AY46">
            <v>137</v>
          </cell>
          <cell r="AZ46">
            <v>150</v>
          </cell>
          <cell r="BA46">
            <v>150</v>
          </cell>
          <cell r="BB46">
            <v>822</v>
          </cell>
          <cell r="BD46">
            <v>31</v>
          </cell>
          <cell r="BE46">
            <v>31</v>
          </cell>
          <cell r="BF46">
            <v>24</v>
          </cell>
          <cell r="BG46">
            <v>0</v>
          </cell>
          <cell r="BH46">
            <v>1.6527777777777772</v>
          </cell>
          <cell r="BI46">
            <v>5.25</v>
          </cell>
          <cell r="BJ46">
            <v>1.25</v>
          </cell>
          <cell r="BK46">
            <v>1</v>
          </cell>
          <cell r="BN46">
            <v>5.5</v>
          </cell>
          <cell r="BO46">
            <v>0</v>
          </cell>
          <cell r="BR46">
            <v>0</v>
          </cell>
          <cell r="BS46">
            <v>0</v>
          </cell>
          <cell r="BV46">
            <v>0</v>
          </cell>
          <cell r="BW46">
            <v>6</v>
          </cell>
          <cell r="BX46">
            <v>31</v>
          </cell>
          <cell r="BY46">
            <v>0</v>
          </cell>
          <cell r="BZ46" t="str">
            <v>1Y   Left</v>
          </cell>
          <cell r="CA46">
            <v>21300</v>
          </cell>
          <cell r="CB46" t="str">
            <v>102294588965</v>
          </cell>
          <cell r="CC46">
            <v>6936881630</v>
          </cell>
          <cell r="CD46" t="str">
            <v>RJ02 20070187522</v>
          </cell>
          <cell r="CE46">
            <v>41914</v>
          </cell>
          <cell r="CF46">
            <v>2405</v>
          </cell>
          <cell r="CG46">
            <v>601.25</v>
          </cell>
          <cell r="CH46">
            <v>1541.05</v>
          </cell>
          <cell r="CI46">
            <v>506</v>
          </cell>
          <cell r="CJ46">
            <v>0</v>
          </cell>
          <cell r="CK46">
            <v>85</v>
          </cell>
          <cell r="CL46">
            <v>740</v>
          </cell>
          <cell r="CM46">
            <v>47792.3</v>
          </cell>
        </row>
        <row r="47">
          <cell r="D47" t="str">
            <v>1075</v>
          </cell>
          <cell r="E47" t="str">
            <v>KAMAL KISHOR</v>
          </cell>
          <cell r="F47" t="str">
            <v>Driver</v>
          </cell>
          <cell r="G47" t="str">
            <v>Transport</v>
          </cell>
          <cell r="H47" t="str">
            <v>Gurgaon</v>
          </cell>
          <cell r="I47">
            <v>46045</v>
          </cell>
          <cell r="J47" t="str">
            <v>HR/32843/10955</v>
          </cell>
          <cell r="K47" t="str">
            <v>DOGPK5395D</v>
          </cell>
          <cell r="L47" t="str">
            <v>SBI</v>
          </cell>
          <cell r="M47" t="str">
            <v>41070364448</v>
          </cell>
          <cell r="N47">
            <v>49147</v>
          </cell>
          <cell r="O47">
            <v>21000</v>
          </cell>
          <cell r="P47">
            <v>18500</v>
          </cell>
          <cell r="Q47">
            <v>2500</v>
          </cell>
          <cell r="V47">
            <v>18500</v>
          </cell>
          <cell r="W47">
            <v>2500</v>
          </cell>
          <cell r="X47">
            <v>0</v>
          </cell>
          <cell r="Y47">
            <v>0</v>
          </cell>
          <cell r="Z47">
            <v>0</v>
          </cell>
          <cell r="AA47">
            <v>0</v>
          </cell>
          <cell r="AB47">
            <v>5354.416666666667</v>
          </cell>
          <cell r="AC47">
            <v>450</v>
          </cell>
          <cell r="AD47">
            <v>0</v>
          </cell>
          <cell r="AE47">
            <v>0</v>
          </cell>
          <cell r="AG47">
            <v>2700</v>
          </cell>
          <cell r="AK47">
            <v>29504.416666666668</v>
          </cell>
          <cell r="AL47">
            <v>2220</v>
          </cell>
          <cell r="AN47">
            <v>138.75</v>
          </cell>
          <cell r="AO47">
            <v>35</v>
          </cell>
          <cell r="AW47">
            <v>2393.75</v>
          </cell>
          <cell r="AX47">
            <v>27110.666666666668</v>
          </cell>
          <cell r="AY47">
            <v>137</v>
          </cell>
          <cell r="AZ47">
            <v>150</v>
          </cell>
          <cell r="BA47">
            <v>150</v>
          </cell>
          <cell r="BB47">
            <v>822</v>
          </cell>
          <cell r="BD47">
            <v>31</v>
          </cell>
          <cell r="BE47">
            <v>31</v>
          </cell>
          <cell r="BF47">
            <v>10</v>
          </cell>
          <cell r="BG47">
            <v>0</v>
          </cell>
          <cell r="BH47">
            <v>1.6284722222222223</v>
          </cell>
          <cell r="BI47">
            <v>5.25</v>
          </cell>
          <cell r="BJ47">
            <v>1.25</v>
          </cell>
          <cell r="BK47">
            <v>0</v>
          </cell>
          <cell r="BN47">
            <v>6.5</v>
          </cell>
          <cell r="BO47">
            <v>0</v>
          </cell>
          <cell r="BR47">
            <v>0</v>
          </cell>
          <cell r="BS47">
            <v>0</v>
          </cell>
          <cell r="BV47">
            <v>0</v>
          </cell>
          <cell r="BW47">
            <v>21</v>
          </cell>
          <cell r="BX47">
            <v>31</v>
          </cell>
          <cell r="BY47">
            <v>0</v>
          </cell>
          <cell r="BZ47" t="str">
            <v>7Y   Left</v>
          </cell>
          <cell r="CA47">
            <v>26804.416666666668</v>
          </cell>
          <cell r="CB47" t="str">
            <v>102143248847</v>
          </cell>
          <cell r="CC47">
            <v>2019393730</v>
          </cell>
          <cell r="CD47" t="str">
            <v>DL04 20040231693</v>
          </cell>
          <cell r="CE47">
            <v>29504.416666666668</v>
          </cell>
          <cell r="CF47">
            <v>2405</v>
          </cell>
          <cell r="CG47">
            <v>601.25</v>
          </cell>
          <cell r="CH47">
            <v>1541.05</v>
          </cell>
          <cell r="CI47">
            <v>508</v>
          </cell>
          <cell r="CJ47">
            <v>0</v>
          </cell>
          <cell r="CK47">
            <v>87</v>
          </cell>
          <cell r="CL47">
            <v>740</v>
          </cell>
          <cell r="CM47">
            <v>35386.716666666667</v>
          </cell>
        </row>
        <row r="48">
          <cell r="D48" t="str">
            <v>1076</v>
          </cell>
          <cell r="E48" t="str">
            <v>SUNIL KUMAR</v>
          </cell>
          <cell r="F48" t="str">
            <v>Driver</v>
          </cell>
          <cell r="G48" t="str">
            <v>Transport</v>
          </cell>
          <cell r="H48" t="str">
            <v>Gurgaon</v>
          </cell>
          <cell r="I48">
            <v>46119</v>
          </cell>
          <cell r="J48" t="str">
            <v>HR/32843/11023</v>
          </cell>
          <cell r="K48" t="str">
            <v>BMHPK5640J</v>
          </cell>
          <cell r="L48" t="str">
            <v>ICIC</v>
          </cell>
          <cell r="M48" t="str">
            <v>414501500985</v>
          </cell>
          <cell r="N48">
            <v>46752</v>
          </cell>
          <cell r="O48">
            <v>21000</v>
          </cell>
          <cell r="P48">
            <v>18500</v>
          </cell>
          <cell r="Q48">
            <v>2500</v>
          </cell>
          <cell r="V48">
            <v>18500</v>
          </cell>
          <cell r="W48">
            <v>2500</v>
          </cell>
          <cell r="X48">
            <v>0</v>
          </cell>
          <cell r="Y48">
            <v>0</v>
          </cell>
          <cell r="Z48">
            <v>0</v>
          </cell>
          <cell r="AA48">
            <v>0</v>
          </cell>
          <cell r="AB48">
            <v>14544.833333333334</v>
          </cell>
          <cell r="AC48">
            <v>450</v>
          </cell>
          <cell r="AD48">
            <v>822</v>
          </cell>
          <cell r="AE48">
            <v>0</v>
          </cell>
          <cell r="AG48">
            <v>0</v>
          </cell>
          <cell r="AK48">
            <v>36816.833333333336</v>
          </cell>
          <cell r="AL48">
            <v>2220</v>
          </cell>
          <cell r="AN48">
            <v>138.75</v>
          </cell>
          <cell r="AO48">
            <v>35</v>
          </cell>
          <cell r="AW48">
            <v>2393.75</v>
          </cell>
          <cell r="AX48">
            <v>34423.083333333336</v>
          </cell>
          <cell r="AY48">
            <v>137</v>
          </cell>
          <cell r="AZ48">
            <v>150</v>
          </cell>
          <cell r="BA48">
            <v>150</v>
          </cell>
          <cell r="BB48">
            <v>822</v>
          </cell>
          <cell r="BD48">
            <v>31</v>
          </cell>
          <cell r="BE48">
            <v>31</v>
          </cell>
          <cell r="BF48">
            <v>24</v>
          </cell>
          <cell r="BG48">
            <v>0</v>
          </cell>
          <cell r="BH48">
            <v>4.4236111111111107</v>
          </cell>
          <cell r="BI48">
            <v>5</v>
          </cell>
          <cell r="BJ48">
            <v>1.25</v>
          </cell>
          <cell r="BK48">
            <v>0</v>
          </cell>
          <cell r="BN48">
            <v>6.25</v>
          </cell>
          <cell r="BO48">
            <v>1</v>
          </cell>
          <cell r="BR48">
            <v>1</v>
          </cell>
          <cell r="BS48">
            <v>0</v>
          </cell>
          <cell r="BV48">
            <v>0</v>
          </cell>
          <cell r="BW48">
            <v>7</v>
          </cell>
          <cell r="BX48">
            <v>31</v>
          </cell>
          <cell r="BY48">
            <v>0</v>
          </cell>
          <cell r="BZ48" t="str">
            <v>1Y   Left</v>
          </cell>
          <cell r="CA48">
            <v>36816.833333333336</v>
          </cell>
          <cell r="CB48" t="str">
            <v>100 385 746 841</v>
          </cell>
          <cell r="CC48">
            <v>6713578195</v>
          </cell>
          <cell r="CD48" t="str">
            <v>DL7 19975339215</v>
          </cell>
          <cell r="CE48">
            <v>36816.833333333336</v>
          </cell>
          <cell r="CF48">
            <v>2405</v>
          </cell>
          <cell r="CG48">
            <v>601.25</v>
          </cell>
          <cell r="CH48">
            <v>1541.05</v>
          </cell>
          <cell r="CI48">
            <v>509</v>
          </cell>
          <cell r="CJ48">
            <v>0</v>
          </cell>
          <cell r="CK48">
            <v>88</v>
          </cell>
          <cell r="CL48">
            <v>740</v>
          </cell>
          <cell r="CM48">
            <v>42701.133333333339</v>
          </cell>
        </row>
        <row r="49">
          <cell r="D49">
            <v>240713</v>
          </cell>
          <cell r="E49" t="str">
            <v>SURESH SINGH</v>
          </cell>
          <cell r="F49" t="str">
            <v>Driver</v>
          </cell>
          <cell r="G49" t="str">
            <v>Transport</v>
          </cell>
          <cell r="H49" t="str">
            <v>Gurgaon</v>
          </cell>
          <cell r="I49">
            <v>46119</v>
          </cell>
          <cell r="J49" t="str">
            <v>HR/32843/10782</v>
          </cell>
          <cell r="L49" t="str">
            <v>HDFC</v>
          </cell>
          <cell r="M49">
            <v>50100733261513</v>
          </cell>
          <cell r="N49">
            <v>47733</v>
          </cell>
          <cell r="O49">
            <v>25890</v>
          </cell>
          <cell r="P49">
            <v>18500</v>
          </cell>
          <cell r="Q49">
            <v>7390</v>
          </cell>
          <cell r="V49">
            <v>4774</v>
          </cell>
          <cell r="W49">
            <v>1907</v>
          </cell>
          <cell r="X49">
            <v>0</v>
          </cell>
          <cell r="Y49">
            <v>0</v>
          </cell>
          <cell r="Z49">
            <v>0</v>
          </cell>
          <cell r="AA49">
            <v>0</v>
          </cell>
          <cell r="AB49">
            <v>1438.5</v>
          </cell>
          <cell r="AC49">
            <v>300</v>
          </cell>
          <cell r="AD49">
            <v>0</v>
          </cell>
          <cell r="AG49">
            <v>0</v>
          </cell>
          <cell r="AJ49">
            <v>1128</v>
          </cell>
          <cell r="AK49">
            <v>9547.5</v>
          </cell>
          <cell r="AL49">
            <v>573</v>
          </cell>
          <cell r="AM49">
            <v>650</v>
          </cell>
          <cell r="AN49">
            <v>35.805</v>
          </cell>
          <cell r="AO49">
            <v>19.094999999999999</v>
          </cell>
          <cell r="AW49">
            <v>1277.9000000000001</v>
          </cell>
          <cell r="AX49">
            <v>8269.6</v>
          </cell>
          <cell r="AY49">
            <v>137</v>
          </cell>
          <cell r="AZ49">
            <v>150</v>
          </cell>
          <cell r="BA49">
            <v>150</v>
          </cell>
          <cell r="BB49">
            <v>822</v>
          </cell>
          <cell r="BD49">
            <v>31</v>
          </cell>
          <cell r="BE49">
            <v>8</v>
          </cell>
          <cell r="BF49">
            <v>7</v>
          </cell>
          <cell r="BG49">
            <v>23</v>
          </cell>
          <cell r="BH49">
            <v>0.4375</v>
          </cell>
          <cell r="BI49">
            <v>3.75</v>
          </cell>
          <cell r="BJ49">
            <v>0</v>
          </cell>
          <cell r="BK49">
            <v>0</v>
          </cell>
          <cell r="BN49">
            <v>3.75</v>
          </cell>
          <cell r="BW49">
            <v>1</v>
          </cell>
          <cell r="BX49">
            <v>8</v>
          </cell>
          <cell r="BY49">
            <v>23</v>
          </cell>
          <cell r="BZ49" t="str">
            <v>4Y   Left</v>
          </cell>
          <cell r="CA49">
            <v>8419.5</v>
          </cell>
          <cell r="CB49" t="str">
            <v>101815006884</v>
          </cell>
          <cell r="CC49" t="str">
            <v>2214854772</v>
          </cell>
          <cell r="CD49" t="str">
            <v>DL03 20020256415</v>
          </cell>
          <cell r="CE49">
            <v>9547.5</v>
          </cell>
          <cell r="CF49">
            <v>620.62</v>
          </cell>
          <cell r="CG49">
            <v>155.155</v>
          </cell>
          <cell r="CH49">
            <v>397.67419999999998</v>
          </cell>
          <cell r="CI49">
            <v>510</v>
          </cell>
          <cell r="CJ49">
            <v>650</v>
          </cell>
          <cell r="CK49">
            <v>89</v>
          </cell>
          <cell r="CL49">
            <v>190.96</v>
          </cell>
          <cell r="CM49">
            <v>12160.9092</v>
          </cell>
        </row>
        <row r="50">
          <cell r="D50" t="str">
            <v>1077</v>
          </cell>
          <cell r="E50" t="str">
            <v>LAL DEV YADAV</v>
          </cell>
          <cell r="F50" t="str">
            <v>Driver</v>
          </cell>
          <cell r="G50" t="str">
            <v>Transport</v>
          </cell>
          <cell r="H50" t="str">
            <v>Gurgaon</v>
          </cell>
          <cell r="I50">
            <v>46155</v>
          </cell>
          <cell r="J50" t="str">
            <v>HR/32843/11034</v>
          </cell>
          <cell r="K50" t="str">
            <v>ALQPY5552Q</v>
          </cell>
          <cell r="L50" t="str">
            <v>HDFC</v>
          </cell>
          <cell r="M50" t="str">
            <v>50100730565630</v>
          </cell>
          <cell r="N50" t="str">
            <v>09-10-2031</v>
          </cell>
          <cell r="O50">
            <v>21000</v>
          </cell>
          <cell r="P50">
            <v>18500</v>
          </cell>
          <cell r="Q50">
            <v>2500</v>
          </cell>
          <cell r="V50">
            <v>18500</v>
          </cell>
          <cell r="W50">
            <v>2500</v>
          </cell>
          <cell r="X50">
            <v>0</v>
          </cell>
          <cell r="Y50">
            <v>0</v>
          </cell>
          <cell r="Z50">
            <v>0</v>
          </cell>
          <cell r="AA50">
            <v>0</v>
          </cell>
          <cell r="AB50">
            <v>9749.8333333333339</v>
          </cell>
          <cell r="AC50">
            <v>1800</v>
          </cell>
          <cell r="AD50">
            <v>0</v>
          </cell>
          <cell r="AE50">
            <v>0</v>
          </cell>
          <cell r="AG50">
            <v>1500</v>
          </cell>
          <cell r="AK50">
            <v>34049.833333333336</v>
          </cell>
          <cell r="AL50">
            <v>2220</v>
          </cell>
          <cell r="AN50">
            <v>138.75</v>
          </cell>
          <cell r="AO50">
            <v>35</v>
          </cell>
          <cell r="AW50">
            <v>2393.75</v>
          </cell>
          <cell r="AX50">
            <v>31656.083333333336</v>
          </cell>
          <cell r="AY50">
            <v>137</v>
          </cell>
          <cell r="AZ50">
            <v>150</v>
          </cell>
          <cell r="BA50">
            <v>150</v>
          </cell>
          <cell r="BB50">
            <v>822</v>
          </cell>
          <cell r="BD50">
            <v>31</v>
          </cell>
          <cell r="BE50">
            <v>31</v>
          </cell>
          <cell r="BF50">
            <v>28</v>
          </cell>
          <cell r="BG50">
            <v>0</v>
          </cell>
          <cell r="BH50">
            <v>2.9652777777777768</v>
          </cell>
          <cell r="BI50">
            <v>2.5</v>
          </cell>
          <cell r="BJ50">
            <v>1.25</v>
          </cell>
          <cell r="BK50">
            <v>0</v>
          </cell>
          <cell r="BN50">
            <v>3.75</v>
          </cell>
          <cell r="BW50">
            <v>3</v>
          </cell>
          <cell r="BX50">
            <v>31</v>
          </cell>
          <cell r="BY50">
            <v>0</v>
          </cell>
          <cell r="BZ50" t="str">
            <v>5Y   Left</v>
          </cell>
          <cell r="CA50">
            <v>32549.833333333336</v>
          </cell>
          <cell r="CB50" t="str">
            <v>102341995093</v>
          </cell>
          <cell r="CC50">
            <v>6937196270</v>
          </cell>
          <cell r="CD50" t="str">
            <v>DL03 20020256415</v>
          </cell>
          <cell r="CE50">
            <v>34049.833333333336</v>
          </cell>
          <cell r="CF50">
            <v>2405</v>
          </cell>
          <cell r="CG50">
            <v>601.25</v>
          </cell>
          <cell r="CH50">
            <v>1541.05</v>
          </cell>
          <cell r="CI50">
            <v>511</v>
          </cell>
          <cell r="CJ50">
            <v>0</v>
          </cell>
          <cell r="CK50">
            <v>90</v>
          </cell>
          <cell r="CL50">
            <v>740</v>
          </cell>
          <cell r="CM50">
            <v>39938.133333333339</v>
          </cell>
        </row>
        <row r="51">
          <cell r="D51" t="str">
            <v>1078</v>
          </cell>
          <cell r="E51" t="str">
            <v>SHIVAM VISHWKARMA</v>
          </cell>
          <cell r="F51" t="str">
            <v>Driver</v>
          </cell>
          <cell r="G51" t="str">
            <v>Transport</v>
          </cell>
          <cell r="H51" t="str">
            <v>Gurgaon</v>
          </cell>
          <cell r="I51">
            <v>46163</v>
          </cell>
          <cell r="J51" t="str">
            <v>HR/32843/11030</v>
          </cell>
          <cell r="K51" t="str">
            <v>CFMPV3502F</v>
          </cell>
          <cell r="L51" t="str">
            <v>HDFC</v>
          </cell>
          <cell r="M51" t="str">
            <v>50100698743454</v>
          </cell>
          <cell r="N51" t="str">
            <v>05-04-2043</v>
          </cell>
          <cell r="O51">
            <v>21000</v>
          </cell>
          <cell r="P51">
            <v>18500</v>
          </cell>
          <cell r="Q51">
            <v>2500</v>
          </cell>
          <cell r="V51">
            <v>18500</v>
          </cell>
          <cell r="W51">
            <v>2500</v>
          </cell>
          <cell r="X51">
            <v>0</v>
          </cell>
          <cell r="Y51">
            <v>0</v>
          </cell>
          <cell r="Z51">
            <v>0</v>
          </cell>
          <cell r="AA51">
            <v>0</v>
          </cell>
          <cell r="AB51">
            <v>14499.166666666666</v>
          </cell>
          <cell r="AC51">
            <v>1950</v>
          </cell>
          <cell r="AD51">
            <v>0</v>
          </cell>
          <cell r="AE51">
            <v>0</v>
          </cell>
          <cell r="AG51">
            <v>0</v>
          </cell>
          <cell r="AK51">
            <v>37449.166666666664</v>
          </cell>
          <cell r="AL51">
            <v>2220</v>
          </cell>
          <cell r="AN51">
            <v>138.75</v>
          </cell>
          <cell r="AO51">
            <v>35</v>
          </cell>
          <cell r="AW51">
            <v>2393.75</v>
          </cell>
          <cell r="AX51">
            <v>35055.416666666664</v>
          </cell>
          <cell r="AY51">
            <v>137</v>
          </cell>
          <cell r="AZ51">
            <v>150</v>
          </cell>
          <cell r="BA51">
            <v>150</v>
          </cell>
          <cell r="BB51">
            <v>822</v>
          </cell>
          <cell r="BD51">
            <v>31</v>
          </cell>
          <cell r="BE51">
            <v>31</v>
          </cell>
          <cell r="BF51">
            <v>26</v>
          </cell>
          <cell r="BG51">
            <v>0</v>
          </cell>
          <cell r="BH51">
            <v>4.4097222222222223</v>
          </cell>
          <cell r="BI51">
            <v>0.25</v>
          </cell>
          <cell r="BJ51">
            <v>1.25</v>
          </cell>
          <cell r="BK51">
            <v>0</v>
          </cell>
          <cell r="BN51">
            <v>1.5</v>
          </cell>
          <cell r="BW51">
            <v>5</v>
          </cell>
          <cell r="BX51">
            <v>31</v>
          </cell>
          <cell r="BY51">
            <v>0</v>
          </cell>
          <cell r="BZ51" t="str">
            <v>16Y   Left</v>
          </cell>
          <cell r="CA51">
            <v>37449.166666666664</v>
          </cell>
          <cell r="CB51">
            <v>102224828282</v>
          </cell>
          <cell r="CC51">
            <v>6936355741</v>
          </cell>
          <cell r="CD51" t="str">
            <v>UPUP95 20250000031</v>
          </cell>
          <cell r="CE51">
            <v>37449.166666666664</v>
          </cell>
          <cell r="CF51">
            <v>2405</v>
          </cell>
          <cell r="CG51">
            <v>601.25</v>
          </cell>
          <cell r="CH51">
            <v>1541.05</v>
          </cell>
          <cell r="CI51">
            <v>512</v>
          </cell>
          <cell r="CJ51">
            <v>0</v>
          </cell>
          <cell r="CK51">
            <v>91</v>
          </cell>
          <cell r="CL51">
            <v>740</v>
          </cell>
          <cell r="CM51">
            <v>43339.466666666667</v>
          </cell>
        </row>
        <row r="52">
          <cell r="D52" t="str">
            <v>1079</v>
          </cell>
          <cell r="E52" t="str">
            <v>SUTESH KUMAR</v>
          </cell>
          <cell r="F52" t="str">
            <v>Driver</v>
          </cell>
          <cell r="G52" t="str">
            <v>Transport</v>
          </cell>
          <cell r="H52" t="str">
            <v>Gurgaon</v>
          </cell>
          <cell r="I52">
            <v>46143</v>
          </cell>
          <cell r="J52" t="str">
            <v>HR/32843/11031</v>
          </cell>
          <cell r="K52" t="str">
            <v>BASPD8152P</v>
          </cell>
          <cell r="L52" t="str">
            <v>HDFC</v>
          </cell>
          <cell r="M52" t="str">
            <v>50100865345220</v>
          </cell>
          <cell r="N52">
            <v>47782</v>
          </cell>
          <cell r="O52">
            <v>34710</v>
          </cell>
          <cell r="P52">
            <v>18501</v>
          </cell>
          <cell r="Q52">
            <v>7400</v>
          </cell>
          <cell r="R52">
            <v>3471</v>
          </cell>
          <cell r="T52">
            <v>4988</v>
          </cell>
          <cell r="U52">
            <v>350</v>
          </cell>
          <cell r="V52">
            <v>18501</v>
          </cell>
          <cell r="W52">
            <v>7400</v>
          </cell>
          <cell r="X52">
            <v>3471</v>
          </cell>
          <cell r="Y52">
            <v>0</v>
          </cell>
          <cell r="Z52">
            <v>4988</v>
          </cell>
          <cell r="AA52">
            <v>350</v>
          </cell>
          <cell r="AB52">
            <v>2694.333333333333</v>
          </cell>
          <cell r="AC52">
            <v>750</v>
          </cell>
          <cell r="AD52">
            <v>1644</v>
          </cell>
          <cell r="AE52">
            <v>1644</v>
          </cell>
          <cell r="AG52">
            <v>0</v>
          </cell>
          <cell r="AK52">
            <v>41442.333333333336</v>
          </cell>
          <cell r="AL52">
            <v>2220</v>
          </cell>
          <cell r="AN52">
            <v>138.75749999999999</v>
          </cell>
          <cell r="AO52">
            <v>35</v>
          </cell>
          <cell r="AW52">
            <v>2393.7575000000002</v>
          </cell>
          <cell r="AX52">
            <v>39048.575833333336</v>
          </cell>
          <cell r="AY52">
            <v>137</v>
          </cell>
          <cell r="AZ52">
            <v>150</v>
          </cell>
          <cell r="BA52">
            <v>150</v>
          </cell>
          <cell r="BB52">
            <v>822</v>
          </cell>
          <cell r="BD52">
            <v>31</v>
          </cell>
          <cell r="BE52">
            <v>31</v>
          </cell>
          <cell r="BF52">
            <v>27</v>
          </cell>
          <cell r="BG52">
            <v>0</v>
          </cell>
          <cell r="BH52">
            <v>0.81944444444444442</v>
          </cell>
          <cell r="BI52">
            <v>2.5</v>
          </cell>
          <cell r="BJ52">
            <v>1.25</v>
          </cell>
          <cell r="BK52">
            <v>0</v>
          </cell>
          <cell r="BN52">
            <v>3.75</v>
          </cell>
          <cell r="BW52">
            <v>4</v>
          </cell>
          <cell r="BX52">
            <v>31</v>
          </cell>
          <cell r="BY52">
            <v>0</v>
          </cell>
          <cell r="BZ52" t="str">
            <v>4Y   Left</v>
          </cell>
          <cell r="CA52">
            <v>39448.333333333336</v>
          </cell>
          <cell r="CB52" t="str">
            <v>100756759815</v>
          </cell>
          <cell r="CC52">
            <v>6936829415</v>
          </cell>
          <cell r="CD52" t="str">
            <v>DL03 20020256415</v>
          </cell>
          <cell r="CE52">
            <v>41442.333333333336</v>
          </cell>
          <cell r="CF52">
            <v>2405.13</v>
          </cell>
          <cell r="CG52">
            <v>601.28250000000003</v>
          </cell>
          <cell r="CH52">
            <v>1541.1333</v>
          </cell>
          <cell r="CI52">
            <v>513</v>
          </cell>
          <cell r="CJ52">
            <v>0</v>
          </cell>
          <cell r="CK52">
            <v>92</v>
          </cell>
          <cell r="CL52">
            <v>740.04</v>
          </cell>
          <cell r="CM52">
            <v>47334.919133333337</v>
          </cell>
        </row>
        <row r="53">
          <cell r="D53" t="str">
            <v>1080</v>
          </cell>
          <cell r="E53" t="str">
            <v>SURENDER SINGH NEGI</v>
          </cell>
          <cell r="F53" t="str">
            <v>Driver</v>
          </cell>
          <cell r="G53" t="str">
            <v>Transport</v>
          </cell>
          <cell r="H53" t="str">
            <v>Gurgaon</v>
          </cell>
          <cell r="I53">
            <v>46175</v>
          </cell>
          <cell r="J53" t="str">
            <v>HR/32843/10760</v>
          </cell>
          <cell r="K53" t="str">
            <v>AOBPN5843H</v>
          </cell>
          <cell r="L53" t="str">
            <v>HDFC</v>
          </cell>
          <cell r="M53" t="str">
            <v>50100729070251</v>
          </cell>
          <cell r="N53" t="str">
            <v>19-02-2030</v>
          </cell>
          <cell r="O53">
            <v>21000</v>
          </cell>
          <cell r="P53">
            <v>18500</v>
          </cell>
          <cell r="Q53">
            <v>2500</v>
          </cell>
          <cell r="V53">
            <v>18500</v>
          </cell>
          <cell r="W53">
            <v>2500</v>
          </cell>
          <cell r="X53">
            <v>0</v>
          </cell>
          <cell r="Y53">
            <v>0</v>
          </cell>
          <cell r="Z53">
            <v>0</v>
          </cell>
          <cell r="AA53">
            <v>0</v>
          </cell>
          <cell r="AB53">
            <v>1232.9999999999993</v>
          </cell>
          <cell r="AC53">
            <v>600</v>
          </cell>
          <cell r="AD53">
            <v>0</v>
          </cell>
          <cell r="AE53">
            <v>0</v>
          </cell>
          <cell r="AG53">
            <v>0</v>
          </cell>
          <cell r="AJ53">
            <v>4667</v>
          </cell>
          <cell r="AK53">
            <v>27500</v>
          </cell>
          <cell r="AL53">
            <v>2220</v>
          </cell>
          <cell r="AN53">
            <v>138.75</v>
          </cell>
          <cell r="AO53">
            <v>35</v>
          </cell>
          <cell r="AW53">
            <v>2393.75</v>
          </cell>
          <cell r="AX53">
            <v>25106.25</v>
          </cell>
          <cell r="AY53">
            <v>137</v>
          </cell>
          <cell r="AZ53">
            <v>150</v>
          </cell>
          <cell r="BA53">
            <v>150</v>
          </cell>
          <cell r="BB53">
            <v>822</v>
          </cell>
          <cell r="BD53">
            <v>31</v>
          </cell>
          <cell r="BE53">
            <v>31</v>
          </cell>
          <cell r="BF53">
            <v>27</v>
          </cell>
          <cell r="BG53">
            <v>0</v>
          </cell>
          <cell r="BH53">
            <v>0.37499999999999983</v>
          </cell>
          <cell r="BI53">
            <v>1.25</v>
          </cell>
          <cell r="BJ53">
            <v>1.25</v>
          </cell>
          <cell r="BK53">
            <v>0</v>
          </cell>
          <cell r="BN53">
            <v>2.5</v>
          </cell>
          <cell r="BW53">
            <v>3</v>
          </cell>
          <cell r="BX53">
            <v>31</v>
          </cell>
          <cell r="BY53">
            <v>0</v>
          </cell>
          <cell r="BZ53" t="str">
            <v>3Y   Left</v>
          </cell>
          <cell r="CA53">
            <v>21000</v>
          </cell>
          <cell r="CB53" t="str">
            <v>100750881500</v>
          </cell>
          <cell r="CC53">
            <v>6934808014</v>
          </cell>
          <cell r="CD53" t="str">
            <v>DL0319940052275</v>
          </cell>
          <cell r="CE53">
            <v>27500</v>
          </cell>
          <cell r="CF53">
            <v>2405</v>
          </cell>
          <cell r="CG53">
            <v>601.25</v>
          </cell>
          <cell r="CH53">
            <v>1541.05</v>
          </cell>
          <cell r="CI53">
            <v>514</v>
          </cell>
          <cell r="CJ53">
            <v>0</v>
          </cell>
          <cell r="CK53">
            <v>93</v>
          </cell>
          <cell r="CL53">
            <v>740</v>
          </cell>
          <cell r="CM53">
            <v>33394.300000000003</v>
          </cell>
        </row>
        <row r="54">
          <cell r="D54" t="str">
            <v>1081</v>
          </cell>
          <cell r="E54" t="str">
            <v>JAIPRAKASH</v>
          </cell>
          <cell r="F54" t="str">
            <v>Driver</v>
          </cell>
          <cell r="G54" t="str">
            <v>Transport</v>
          </cell>
          <cell r="H54" t="str">
            <v>Gurgaon</v>
          </cell>
          <cell r="I54">
            <v>46204</v>
          </cell>
          <cell r="K54" t="str">
            <v>CBLPP0535R</v>
          </cell>
          <cell r="L54" t="str">
            <v>UBIN</v>
          </cell>
          <cell r="M54" t="str">
            <v>520101059246630</v>
          </cell>
          <cell r="N54">
            <v>49802</v>
          </cell>
          <cell r="O54">
            <v>21000</v>
          </cell>
          <cell r="P54">
            <v>18500</v>
          </cell>
          <cell r="Q54">
            <v>2500</v>
          </cell>
          <cell r="V54">
            <v>18500</v>
          </cell>
          <cell r="W54">
            <v>2500</v>
          </cell>
          <cell r="X54">
            <v>0</v>
          </cell>
          <cell r="Y54">
            <v>0</v>
          </cell>
          <cell r="Z54">
            <v>0</v>
          </cell>
          <cell r="AA54">
            <v>0</v>
          </cell>
          <cell r="AB54">
            <v>13700</v>
          </cell>
          <cell r="AC54">
            <v>1200</v>
          </cell>
          <cell r="AD54">
            <v>1644</v>
          </cell>
          <cell r="AE54">
            <v>0</v>
          </cell>
          <cell r="AG54">
            <v>0</v>
          </cell>
          <cell r="AK54">
            <v>37544</v>
          </cell>
          <cell r="AL54">
            <v>2220</v>
          </cell>
          <cell r="AN54">
            <v>138.75</v>
          </cell>
          <cell r="AO54">
            <v>35</v>
          </cell>
          <cell r="AW54">
            <v>2393.75</v>
          </cell>
          <cell r="AX54">
            <v>35150.25</v>
          </cell>
          <cell r="AY54">
            <v>137</v>
          </cell>
          <cell r="AZ54">
            <v>150</v>
          </cell>
          <cell r="BA54">
            <v>150</v>
          </cell>
          <cell r="BB54">
            <v>822</v>
          </cell>
          <cell r="BD54">
            <v>31</v>
          </cell>
          <cell r="BE54">
            <v>31</v>
          </cell>
          <cell r="BF54">
            <v>29</v>
          </cell>
          <cell r="BG54">
            <v>0</v>
          </cell>
          <cell r="BH54">
            <v>4.1666666666666679</v>
          </cell>
          <cell r="BI54">
            <v>0</v>
          </cell>
          <cell r="BJ54">
            <v>1.25</v>
          </cell>
          <cell r="BK54">
            <v>0</v>
          </cell>
          <cell r="BN54">
            <v>1.25</v>
          </cell>
          <cell r="BW54">
            <v>4</v>
          </cell>
          <cell r="BX54">
            <v>31</v>
          </cell>
          <cell r="BY54">
            <v>0</v>
          </cell>
          <cell r="BZ54" t="str">
            <v>9Y   Left</v>
          </cell>
          <cell r="CA54">
            <v>21000</v>
          </cell>
          <cell r="CB54" t="str">
            <v>101683743190</v>
          </cell>
          <cell r="CC54">
            <v>6937346452</v>
          </cell>
          <cell r="CE54">
            <v>37544</v>
          </cell>
          <cell r="CF54">
            <v>2405</v>
          </cell>
          <cell r="CG54">
            <v>601.25</v>
          </cell>
          <cell r="CH54">
            <v>1541.05</v>
          </cell>
          <cell r="CI54">
            <v>515</v>
          </cell>
          <cell r="CJ54">
            <v>0</v>
          </cell>
          <cell r="CK54">
            <v>94</v>
          </cell>
          <cell r="CL54">
            <v>740</v>
          </cell>
          <cell r="CM54">
            <v>43440.3</v>
          </cell>
        </row>
        <row r="55">
          <cell r="D55" t="str">
            <v>1082</v>
          </cell>
          <cell r="E55" t="str">
            <v>AKRAMUL HOSSAIN</v>
          </cell>
          <cell r="F55" t="str">
            <v>Driver</v>
          </cell>
          <cell r="G55" t="str">
            <v>Transport</v>
          </cell>
          <cell r="H55" t="str">
            <v>Gurgaon</v>
          </cell>
          <cell r="I55">
            <v>46209</v>
          </cell>
          <cell r="K55" t="str">
            <v>ALWPH9440D</v>
          </cell>
          <cell r="L55" t="str">
            <v>HDFC</v>
          </cell>
          <cell r="M55" t="str">
            <v>50100314325330</v>
          </cell>
          <cell r="N55">
            <v>46438</v>
          </cell>
          <cell r="O55">
            <v>21000</v>
          </cell>
          <cell r="P55">
            <v>18500</v>
          </cell>
          <cell r="Q55">
            <v>2500</v>
          </cell>
          <cell r="V55">
            <v>15516</v>
          </cell>
          <cell r="W55">
            <v>2097</v>
          </cell>
          <cell r="X55">
            <v>0</v>
          </cell>
          <cell r="Y55">
            <v>0</v>
          </cell>
          <cell r="Z55">
            <v>0</v>
          </cell>
          <cell r="AA55">
            <v>0</v>
          </cell>
          <cell r="AB55">
            <v>4075.75</v>
          </cell>
          <cell r="AC55">
            <v>450</v>
          </cell>
          <cell r="AD55">
            <v>0</v>
          </cell>
          <cell r="AE55">
            <v>0</v>
          </cell>
          <cell r="AG55">
            <v>8500</v>
          </cell>
          <cell r="AK55">
            <v>30638.75</v>
          </cell>
          <cell r="AL55">
            <v>1862</v>
          </cell>
          <cell r="AN55">
            <v>116.36999999999999</v>
          </cell>
          <cell r="AO55">
            <v>35</v>
          </cell>
          <cell r="AW55">
            <v>2013.37</v>
          </cell>
          <cell r="AX55">
            <v>28625.38</v>
          </cell>
          <cell r="AY55">
            <v>137</v>
          </cell>
          <cell r="AZ55">
            <v>150</v>
          </cell>
          <cell r="BA55">
            <v>150</v>
          </cell>
          <cell r="BB55">
            <v>822</v>
          </cell>
          <cell r="BD55">
            <v>31</v>
          </cell>
          <cell r="BE55">
            <v>26</v>
          </cell>
          <cell r="BF55">
            <v>23</v>
          </cell>
          <cell r="BG55">
            <v>5</v>
          </cell>
          <cell r="BH55">
            <v>1.2395833333333333</v>
          </cell>
          <cell r="BI55">
            <v>0</v>
          </cell>
          <cell r="BJ55">
            <v>1.25</v>
          </cell>
          <cell r="BK55">
            <v>0</v>
          </cell>
          <cell r="BN55">
            <v>1.25</v>
          </cell>
          <cell r="BW55">
            <v>5</v>
          </cell>
          <cell r="BX55">
            <v>26</v>
          </cell>
          <cell r="BY55">
            <v>5</v>
          </cell>
          <cell r="BZ55" t="str">
            <v>197 Days Left</v>
          </cell>
          <cell r="CA55">
            <v>17613</v>
          </cell>
          <cell r="CB55" t="str">
            <v>101683743190</v>
          </cell>
          <cell r="CC55">
            <v>8920611710</v>
          </cell>
          <cell r="CD55" t="str">
            <v>WB61 2008 0005625</v>
          </cell>
          <cell r="CE55">
            <v>30638.75</v>
          </cell>
          <cell r="CF55">
            <v>2017.0800000000002</v>
          </cell>
          <cell r="CG55">
            <v>504.27000000000004</v>
          </cell>
          <cell r="CH55">
            <v>1292.4828</v>
          </cell>
          <cell r="CI55">
            <v>516</v>
          </cell>
          <cell r="CJ55">
            <v>0</v>
          </cell>
          <cell r="CK55">
            <v>95</v>
          </cell>
          <cell r="CL55">
            <v>620.64</v>
          </cell>
          <cell r="CM55">
            <v>35684.222799999996</v>
          </cell>
        </row>
        <row r="56">
          <cell r="D56" t="str">
            <v>1083</v>
          </cell>
          <cell r="E56" t="str">
            <v>YOGESH TANWAR</v>
          </cell>
          <cell r="F56" t="str">
            <v>Driver</v>
          </cell>
          <cell r="G56" t="str">
            <v>Transport</v>
          </cell>
          <cell r="H56" t="str">
            <v>Gurgaon</v>
          </cell>
          <cell r="I56">
            <v>46206</v>
          </cell>
          <cell r="K56" t="str">
            <v>AZBPT9321P</v>
          </cell>
          <cell r="L56" t="str">
            <v>HDFC</v>
          </cell>
          <cell r="M56" t="str">
            <v>50100667543247</v>
          </cell>
          <cell r="N56">
            <v>49687</v>
          </cell>
          <cell r="O56">
            <v>21000</v>
          </cell>
          <cell r="P56">
            <v>18500</v>
          </cell>
          <cell r="Q56">
            <v>2500</v>
          </cell>
          <cell r="V56">
            <v>8355</v>
          </cell>
          <cell r="W56">
            <v>1129</v>
          </cell>
          <cell r="X56">
            <v>0</v>
          </cell>
          <cell r="Y56">
            <v>0</v>
          </cell>
          <cell r="Z56">
            <v>0</v>
          </cell>
          <cell r="AA56">
            <v>0</v>
          </cell>
          <cell r="AB56">
            <v>0</v>
          </cell>
          <cell r="AC56">
            <v>0</v>
          </cell>
          <cell r="AD56">
            <v>822</v>
          </cell>
          <cell r="AE56">
            <v>0</v>
          </cell>
          <cell r="AG56">
            <v>1000</v>
          </cell>
          <cell r="AK56">
            <v>11306</v>
          </cell>
          <cell r="AL56">
            <v>1003</v>
          </cell>
          <cell r="AN56">
            <v>62.662499999999994</v>
          </cell>
          <cell r="AW56">
            <v>1065.6624999999999</v>
          </cell>
          <cell r="AX56">
            <v>10240.3375</v>
          </cell>
          <cell r="AY56">
            <v>137</v>
          </cell>
          <cell r="AZ56">
            <v>150</v>
          </cell>
          <cell r="BA56">
            <v>150</v>
          </cell>
          <cell r="BB56">
            <v>822</v>
          </cell>
          <cell r="BD56">
            <v>31</v>
          </cell>
          <cell r="BE56">
            <v>14</v>
          </cell>
          <cell r="BF56">
            <v>12</v>
          </cell>
          <cell r="BG56">
            <v>17</v>
          </cell>
          <cell r="BH56">
            <v>0</v>
          </cell>
          <cell r="BI56">
            <v>0</v>
          </cell>
          <cell r="BJ56">
            <v>0</v>
          </cell>
          <cell r="BK56">
            <v>0</v>
          </cell>
          <cell r="BN56">
            <v>0</v>
          </cell>
          <cell r="BW56">
            <v>6</v>
          </cell>
          <cell r="BX56">
            <v>14</v>
          </cell>
          <cell r="BY56">
            <v>17</v>
          </cell>
          <cell r="BZ56" t="str">
            <v>9Y   Left</v>
          </cell>
          <cell r="CA56">
            <v>9484</v>
          </cell>
          <cell r="CB56" t="str">
            <v>101683743190</v>
          </cell>
          <cell r="CC56">
            <v>8920611711</v>
          </cell>
          <cell r="CD56" t="str">
            <v>WB61 2008 0005626</v>
          </cell>
          <cell r="CE56">
            <v>11306</v>
          </cell>
          <cell r="CF56">
            <v>1086.1500000000001</v>
          </cell>
          <cell r="CG56">
            <v>271.53750000000002</v>
          </cell>
          <cell r="CH56">
            <v>695.97149999999999</v>
          </cell>
          <cell r="CI56">
            <v>517</v>
          </cell>
          <cell r="CJ56">
            <v>0</v>
          </cell>
          <cell r="CK56">
            <v>96</v>
          </cell>
          <cell r="CL56">
            <v>334.2</v>
          </cell>
          <cell r="CM56">
            <v>14306.859</v>
          </cell>
        </row>
      </sheetData>
      <sheetData sheetId="3"/>
      <sheetData sheetId="4"/>
      <sheetData sheetId="5"/>
      <sheetData sheetId="6"/>
      <sheetData sheetId="7"/>
      <sheetData sheetId="8"/>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upesh Kumar" refreshedDate="46244.899827083333" createdVersion="8" refreshedVersion="8" minRefreshableVersion="3" recordCount="44" xr:uid="{B86F2D58-9ADE-45AA-8543-C019AA675A2D}">
  <cacheSource type="worksheet">
    <worksheetSource name="Table1"/>
  </cacheSource>
  <cacheFields count="25">
    <cacheField name="S. No." numFmtId="0">
      <sharedItems containsSemiMixedTypes="0" containsString="0" containsNumber="1" containsInteger="1" minValue="1" maxValue="44"/>
    </cacheField>
    <cacheField name="CAB SHORT NO." numFmtId="0">
      <sharedItems/>
    </cacheField>
    <cacheField name="VEHICLE NUMBER" numFmtId="0">
      <sharedItems count="44">
        <s v="HR 55BC 1637"/>
        <s v="HR-55AK-5787"/>
        <s v="HR55AZ3356"/>
        <s v="HR 55 BA 3898"/>
        <s v="HR 26 FZ 8882"/>
        <s v="HR55AZ 3560"/>
        <s v="HR 55AG 5093"/>
        <s v="HR-55-AL-5921"/>
        <s v="HR55AL8495"/>
        <s v="HR-66C-8938"/>
        <s v="HR 66D 1538"/>
        <s v="HR 66C 0292"/>
        <s v="HR 66 C 0944"/>
        <s v="HR-55AR-1096"/>
        <s v="HR 55 AX 4866"/>
        <s v="HR 55AX 1194"/>
        <s v="HR26 EW 5895"/>
        <s v="HR-26FB-7616"/>
        <s v="HR 66C 2987"/>
        <s v="HR47E 9469"/>
        <s v="HR-47F-5680"/>
        <s v="HR 55 AX 1428"/>
        <s v="HR-47F-1040"/>
        <s v="UK03TA2522"/>
        <s v="HR 66 C 2856"/>
        <s v="HR 55 BD 8299"/>
        <s v="HR-55AL-1846"/>
        <s v="HR-66B-4572"/>
        <s v="HR-55AC-8668"/>
        <s v="HR-55AF-5134"/>
        <s v="HR-55AH-3603"/>
        <s v="HR 55AG 3526"/>
        <s v="HR-55AC-2477"/>
        <s v="HR 55AH 8939"/>
        <s v="HR 66 C 2373"/>
        <s v="HR-55AB-0471"/>
        <s v="HR 55AH1982"/>
        <s v="ONLY DRIVER- SU"/>
        <s v="ONLY DRIVER-CH"/>
        <s v="ONLY DRIVER-DAL"/>
        <s v="ONLY DRIVER-DI"/>
        <s v="HR 55 BB 4206"/>
        <s v="HR-55AG-4440"/>
        <s v="HR 55AG 1451"/>
      </sharedItems>
    </cacheField>
    <cacheField name="VEHICLE TYPE" numFmtId="0">
      <sharedItems containsBlank="1" count="12">
        <s v="HYCROSS"/>
        <s v="CRYSTA"/>
        <s v="AMAZE"/>
        <s v="ELIVATE"/>
        <s v="BRV"/>
        <s v="XL6"/>
        <s v="TOYOTA RUMION"/>
        <s v="Suzuki invicto"/>
        <s v="ERTIGA"/>
        <s v="DZIRE"/>
        <m/>
        <s v="City"/>
      </sharedItems>
    </cacheField>
    <cacheField name="MODEL YEAR" numFmtId="0">
      <sharedItems containsString="0" containsBlank="1" containsNumber="1" containsInteger="1" minValue="2017" maxValue="2026"/>
    </cacheField>
    <cacheField name="VEHICLE OWNER" numFmtId="0">
      <sharedItems containsBlank="1" count="7">
        <s v="HKI"/>
        <s v="LOKESH"/>
        <s v="Rakesh"/>
        <s v="Raman"/>
        <s v="Yogesh"/>
        <s v="Pawan"/>
        <m/>
      </sharedItems>
    </cacheField>
    <cacheField name="DRIVER NAME" numFmtId="0">
      <sharedItems count="44">
        <s v="Charan"/>
        <s v="Dilber "/>
        <s v="Mantu"/>
        <s v="Rajbir"/>
        <s v="Suresh Yadav"/>
        <s v="Dukhiram"/>
        <s v="Deepak New"/>
        <s v="SUNIL DUTT"/>
        <s v="Ashwani"/>
        <s v="Basant"/>
        <s v="Rakesh"/>
        <s v="Kailash"/>
        <s v="Deepak Pandit"/>
        <s v="Rakesh Tamta"/>
        <s v="Deepak 2"/>
        <s v="Gurfan"/>
        <s v="Bhim"/>
        <s v="Anil"/>
        <s v="Kamal Kishor"/>
        <s v="Surinder  Yadav"/>
        <s v="Shyamlal"/>
        <s v="Surinder Rawat"/>
        <s v="Harish"/>
        <s v="Shyam shankar "/>
        <s v="BHUPENDER"/>
        <s v="Surender Negi"/>
        <s v="Randhir"/>
        <s v="SURESH RAM"/>
        <s v="Jeewan"/>
        <s v="Durga Prasad"/>
        <s v="Amit"/>
        <s v="Vishnu Paswan"/>
        <s v="Sunil Kumar"/>
        <s v="AKRAMUL HOSSAIN"/>
        <s v="Ajeet"/>
        <s v="Laldev"/>
        <s v="Madan"/>
        <s v="Sutesh"/>
        <s v="Chandan"/>
        <s v="Dalraj"/>
        <s v="Dinesh"/>
        <s v="Amrender"/>
        <s v="Shivam"/>
        <s v="Suresh Singh"/>
      </sharedItems>
    </cacheField>
    <cacheField name="EMP CODE" numFmtId="0">
      <sharedItems containsMixedTypes="1" containsNumber="1" containsInteger="1" minValue="1065" maxValue="240713"/>
    </cacheField>
    <cacheField name="END USER" numFmtId="0">
      <sharedItems containsBlank="1" count="26">
        <s v="HIDAKA PRECISION TOOLS INDIA PVT. LTD."/>
        <s v="AOTS"/>
        <s v="Japan High Speed Rail Electric Engineering Co., Ltd."/>
        <s v="NS Instruments India Private Limited.."/>
        <s v="HONDA FINANCE INDIA PRIVATE LIMITED"/>
        <s v="TOKYO CONSULTING FIRM PVT LTD"/>
        <s v="HONDA INDIA FOUNDATION PRIVATE LIMITED"/>
        <s v="TPR Autoparts Mfg. India Pvt. Ltd."/>
        <s v="NS INDIA DESIGN &amp; TRADING PRIVATE LTD"/>
        <s v="NIPPON STEEL PIPE INDIA PVT LTD"/>
        <s v="Metal One Corporation India Private Limited"/>
        <s v="THE YOMIURI SHIMBUN.."/>
        <s v="Ito Electronic ( India ) Pvt. Ltd"/>
        <s v="DAIDO D.M.S INDIA PVT LTD"/>
        <s v="Aisan Industry India Pvt. Ltd"/>
        <s v="Liaison office in India – Kawata Mfg Co., Ltd."/>
        <s v="HCIL,HKJ"/>
        <s v="HKJ"/>
        <s v="HCIL"/>
        <m/>
        <s v="MATSUKAMI SAN, HONDA DIGITAL"/>
        <s v="HKJ,SZK"/>
        <s v="HONDA MOTORS,HCIL, SUMLUCK, HKJ"/>
        <s v="HKJ,GOSHI"/>
        <s v="HKJ,GOSHI,TPR"/>
        <s v="HONDA MOTORS,EGID,HKJ"/>
      </sharedItems>
    </cacheField>
    <cacheField name="RENT TYPE" numFmtId="0">
      <sharedItems containsBlank="1" count="4">
        <s v="Fix Monthly"/>
        <s v="Spot"/>
        <s v="Spair Driver/Car"/>
        <m/>
      </sharedItems>
    </cacheField>
    <cacheField name="Start Km" numFmtId="0">
      <sharedItems containsSemiMixedTypes="0" containsString="0" containsNumber="1" containsInteger="1" minValue="0" maxValue="240546"/>
    </cacheField>
    <cacheField name="End Km" numFmtId="0">
      <sharedItems containsSemiMixedTypes="0" containsString="0" containsNumber="1" containsInteger="1" minValue="0" maxValue="242447"/>
    </cacheField>
    <cacheField name="Total Km." numFmtId="0">
      <sharedItems containsSemiMixedTypes="0" containsString="0" containsNumber="1" containsInteger="1" minValue="0" maxValue="8283" count="40">
        <n v="3867"/>
        <n v="871"/>
        <n v="2869"/>
        <n v="2478"/>
        <n v="1315"/>
        <n v="1178"/>
        <n v="3271"/>
        <n v="3401"/>
        <n v="2561"/>
        <n v="3471"/>
        <n v="2449"/>
        <n v="2634"/>
        <n v="3748"/>
        <n v="3318"/>
        <n v="2488"/>
        <n v="2069"/>
        <n v="1565"/>
        <n v="675"/>
        <n v="1071"/>
        <n v="3801"/>
        <n v="4006"/>
        <n v="1996"/>
        <n v="3980"/>
        <n v="0"/>
        <n v="2807"/>
        <n v="1739"/>
        <n v="8283"/>
        <n v="3786"/>
        <n v="3381"/>
        <n v="2755"/>
        <n v="3029"/>
        <n v="2518"/>
        <n v="2367"/>
        <n v="1856"/>
        <n v="2820"/>
        <n v="3490"/>
        <n v="5141"/>
        <n v="2943"/>
        <n v="1901"/>
        <n v="3133" u="1"/>
      </sharedItems>
    </cacheField>
    <cacheField name="MILEAGE IN KM." numFmtId="0">
      <sharedItems containsMixedTypes="1" containsNumber="1" minValue="0" maxValue="17.821428571428573" count="40">
        <n v="13.020202020202021"/>
        <n v="8.295238095238096"/>
        <n v="10.320143884892087"/>
        <n v="12.328358208955224"/>
        <n v="11.14406779661017"/>
        <n v="12.020408163265307"/>
        <n v="11.851449275362318"/>
        <n v="12.457875457875458"/>
        <n v="13.478947368421053"/>
        <n v="11.886986301369863"/>
        <n v="11.946341463414635"/>
        <n v="12.366197183098592"/>
        <n v="11.936305732484076"/>
        <n v="12.910505836575876"/>
        <n v="12.75897435897436"/>
        <n v="11.244565217391305"/>
        <n v="11.592592592592593"/>
        <e v="#DIV/0!"/>
        <n v="10.5"/>
        <n v="12.586092715231787"/>
        <n v="12.4797507788162"/>
        <n v="17.821428571428573"/>
        <n v="11.705882352941176"/>
        <n v="0"/>
        <n v="10.592452830188678"/>
        <n v="10.351190476190476"/>
        <n v="11.392727272727273"/>
        <n v="12.921501706484642"/>
        <n v="8.473684210526315"/>
        <n v="11.290983606557377"/>
        <n v="11.014545454545454"/>
        <n v="7.4940476190476186"/>
        <n v="9.7809917355371905"/>
        <n v="15.338842975206612"/>
        <n v="13.251336898395722"/>
        <n v="9.7577854671280271"/>
        <n v="11.480263157894736"/>
        <n v="12.417874396135266"/>
        <n v="10.780219780219781"/>
        <n v="10.331521739130435"/>
      </sharedItems>
    </cacheField>
    <cacheField name="FUEL EXPENSE" numFmtId="164">
      <sharedItems containsSemiMixedTypes="0" containsString="0" containsNumber="1" minValue="0" maxValue="60491"/>
    </cacheField>
    <cacheField name="VEHICLE MAINTENANCE" numFmtId="164">
      <sharedItems containsString="0" containsBlank="1" containsNumber="1" containsInteger="1" minValue="60" maxValue="2440"/>
    </cacheField>
    <cacheField name="STATE TAX" numFmtId="164">
      <sharedItems containsSemiMixedTypes="0" containsString="0" containsNumber="1" containsInteger="1" minValue="0" maxValue="10265"/>
    </cacheField>
    <cacheField name="FAST TAG/MCD/PARKING" numFmtId="164">
      <sharedItems containsSemiMixedTypes="0" containsString="0" containsNumber="1" containsInteger="1" minValue="0" maxValue="19375"/>
    </cacheField>
    <cacheField name="RENT &amp; DEPRECIATION" numFmtId="164">
      <sharedItems containsSemiMixedTypes="0" containsString="0" containsNumber="1" containsInteger="1" minValue="0" maxValue="101064"/>
    </cacheField>
    <cacheField name="CTC (Driver Salary/Cost)" numFmtId="164">
      <sharedItems containsSemiMixedTypes="0" containsString="0" containsNumber="1" minValue="6686.8271999999997" maxValue="125542"/>
    </cacheField>
    <cacheField name="TOTAL EXPENSE" numFmtId="164">
      <sharedItems containsSemiMixedTypes="0" containsString="0" containsNumber="1" minValue="34091.300000000003" maxValue="316162" count="44">
        <n v="144318.38999999998"/>
        <n v="59294.5"/>
        <n v="137321.05333333334"/>
        <n v="89411.774799999999"/>
        <n v="106027.76000000001"/>
        <n v="108032.68666666668"/>
        <n v="72375.02"/>
        <n v="137700.04999999999"/>
        <n v="66726.127200000003"/>
        <n v="119260.95666666667"/>
        <n v="114915.8"/>
        <n v="128568.3"/>
        <n v="139584.54999999999"/>
        <n v="82449.17333333334"/>
        <n v="99852.216666666674"/>
        <n v="97734.113333333327"/>
        <n v="93513.75"/>
        <n v="101312.3"/>
        <n v="103162.71666666667"/>
        <n v="152830"/>
        <n v="135256.29999999999"/>
        <n v="109561.94"/>
        <n v="110331.1"/>
        <n v="34091.300000000003"/>
        <n v="138656.79999999999"/>
        <n v="101179.26"/>
        <n v="316162"/>
        <n v="136938.71666666667"/>
        <n v="98393.496666666673"/>
        <n v="78747.876666666678"/>
        <n v="77742.05"/>
        <n v="80607.603333333333"/>
        <n v="70819.873333333337"/>
        <n v="50532.592799999999"/>
        <n v="135562.79999999999"/>
        <n v="82987.463333333348"/>
        <n v="79815.86"/>
        <n v="47334.919133333337"/>
        <n v="45575.233333333337"/>
        <n v="42058.3"/>
        <n v="42467.55"/>
        <n v="171865.09333333332"/>
        <n v="86693.276666666672"/>
        <n v="36350.389199999998"/>
      </sharedItems>
    </cacheField>
    <cacheField name="HKI INVOICE AMT." numFmtId="164">
      <sharedItems containsSemiMixedTypes="0" containsString="0" containsNumber="1" minValue="17820" maxValue="338386" count="44">
        <n v="130782"/>
        <n v="94905"/>
        <n v="157626.67000000001"/>
        <n v="96741.33"/>
        <n v="122333.33"/>
        <n v="132828.32999999999"/>
        <n v="79807"/>
        <n v="165098"/>
        <n v="100616.67"/>
        <n v="109701"/>
        <n v="130672"/>
        <n v="169900"/>
        <n v="171609.33"/>
        <n v="126816.33"/>
        <n v="111480"/>
        <n v="110905"/>
        <n v="104330"/>
        <n v="108585"/>
        <n v="132802"/>
        <n v="176412.33"/>
        <n v="151018.67000000001"/>
        <n v="131350.67000000001"/>
        <n v="111361"/>
        <n v="117937.33"/>
        <n v="193970"/>
        <n v="117765"/>
        <n v="338386"/>
        <n v="222929.99"/>
        <n v="217239"/>
        <n v="193219.17"/>
        <n v="74740.5"/>
        <n v="94355.83"/>
        <n v="48255"/>
        <n v="17820"/>
        <n v="152117.5"/>
        <n v="138919.66999999998"/>
        <n v="199913.66999999998"/>
        <n v="54279"/>
        <n v="56614"/>
        <n v="46977"/>
        <n v="54893"/>
        <n v="248830.33000000002"/>
        <n v="165212"/>
        <n v="104206"/>
      </sharedItems>
    </cacheField>
    <cacheField name="NET PROFIT AMT." numFmtId="164">
      <sharedItems containsString="0" containsBlank="1" containsNumber="1" minValue="1029.8999999999942" maxValue="120097.80999999998" count="40">
        <m/>
        <n v="35610.5"/>
        <n v="20305.616666666669"/>
        <n v="7329.5552000000025"/>
        <n v="16305.569999999992"/>
        <n v="24795.643333333312"/>
        <n v="7431.9799999999959"/>
        <n v="27397.950000000012"/>
        <n v="33890.542799999996"/>
        <n v="15756.199999999997"/>
        <n v="41331.699999999997"/>
        <n v="32024.78"/>
        <n v="44367.156666666662"/>
        <n v="11627.783333333326"/>
        <n v="13170.886666666673"/>
        <n v="10816.25"/>
        <n v="7272.6999999999971"/>
        <n v="29639.283333333326"/>
        <n v="23582.329999999987"/>
        <n v="15762.370000000024"/>
        <n v="21788.73000000001"/>
        <n v="1029.8999999999942"/>
        <n v="83846.03"/>
        <n v="55313.200000000012"/>
        <n v="16585.740000000005"/>
        <n v="22224"/>
        <n v="85991.273333333316"/>
        <n v="118845.50333333333"/>
        <n v="114471.29333333333"/>
        <n v="13748.226666666669"/>
        <n v="16554.700000000012"/>
        <n v="55932.206666666636"/>
        <n v="120097.80999999998"/>
        <n v="6944.0808666666635"/>
        <n v="11038.766666666663"/>
        <n v="4918.6999999999971"/>
        <n v="12425.449999999997"/>
        <n v="76965.236666666693"/>
        <n v="78518.723333333328"/>
        <n v="67855.610799999995"/>
      </sharedItems>
    </cacheField>
    <cacheField name="NET LOSS AMT" numFmtId="164">
      <sharedItems containsString="0" containsBlank="1" containsNumber="1" minValue="-32712.592799999999" maxValue="-3001.5500000000029" count="6">
        <n v="-13536.389999999985"/>
        <m/>
        <n v="-9559.9566666666651"/>
        <n v="-3001.5500000000029"/>
        <n v="-22564.873333333337"/>
        <n v="-32712.592799999999"/>
      </sharedItems>
    </cacheField>
    <cacheField name="Remarks" numFmtId="0">
      <sharedItems containsBlank="1" count="4">
        <m/>
        <s v="2 months and 15 days at HCIL, and 15 days at HKJ."/>
        <s v="Invoice Prepared in August (Bifurcated Amount of July)"/>
        <s v="Spair Driver/Car"/>
      </sharedItems>
    </cacheField>
  </cacheFields>
  <extLst>
    <ext xmlns:x14="http://schemas.microsoft.com/office/spreadsheetml/2009/9/main" uri="{725AE2AE-9491-48be-B2B4-4EB974FC3084}">
      <x14:pivotCacheDefinition pivotCacheId="5048490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4">
  <r>
    <n v="1"/>
    <s v="1637"/>
    <x v="0"/>
    <x v="0"/>
    <n v="2026"/>
    <x v="0"/>
    <x v="0"/>
    <s v="0338"/>
    <x v="0"/>
    <x v="0"/>
    <n v="7950"/>
    <n v="11817"/>
    <x v="0"/>
    <x v="0"/>
    <n v="30582.09"/>
    <m/>
    <n v="6917"/>
    <n v="7055"/>
    <n v="67960"/>
    <n v="31804.3"/>
    <x v="0"/>
    <x v="0"/>
    <x v="0"/>
    <x v="0"/>
    <x v="0"/>
  </r>
  <r>
    <n v="2"/>
    <s v="5787"/>
    <x v="1"/>
    <x v="1"/>
    <n v="2021"/>
    <x v="0"/>
    <x v="1"/>
    <s v="0335"/>
    <x v="1"/>
    <x v="0"/>
    <n v="47724"/>
    <n v="48595"/>
    <x v="1"/>
    <x v="1"/>
    <n v="10042.200000000001"/>
    <m/>
    <n v="360"/>
    <n v="6370"/>
    <n v="6065"/>
    <n v="36457.300000000003"/>
    <x v="1"/>
    <x v="1"/>
    <x v="1"/>
    <x v="1"/>
    <x v="0"/>
  </r>
  <r>
    <n v="3"/>
    <s v="3356"/>
    <x v="2"/>
    <x v="1"/>
    <n v="2025"/>
    <x v="0"/>
    <x v="2"/>
    <s v="1023"/>
    <x v="2"/>
    <x v="0"/>
    <n v="20947"/>
    <n v="23816"/>
    <x v="2"/>
    <x v="2"/>
    <n v="26587.920000000002"/>
    <n v="70"/>
    <n v="0"/>
    <n v="6950"/>
    <n v="57163"/>
    <n v="46550.133333333331"/>
    <x v="2"/>
    <x v="2"/>
    <x v="2"/>
    <x v="1"/>
    <x v="0"/>
  </r>
  <r>
    <n v="4"/>
    <s v="3898"/>
    <x v="3"/>
    <x v="2"/>
    <n v="2025"/>
    <x v="0"/>
    <x v="3"/>
    <s v="1056"/>
    <x v="3"/>
    <x v="0"/>
    <n v="14958"/>
    <n v="17436"/>
    <x v="3"/>
    <x v="3"/>
    <n v="20696.97"/>
    <n v="60"/>
    <n v="0"/>
    <n v="4820"/>
    <n v="21320"/>
    <n v="42514.804799999998"/>
    <x v="3"/>
    <x v="3"/>
    <x v="3"/>
    <x v="1"/>
    <x v="0"/>
  </r>
  <r>
    <n v="5"/>
    <s v="8882"/>
    <x v="4"/>
    <x v="3"/>
    <n v="2025"/>
    <x v="0"/>
    <x v="4"/>
    <s v="1073"/>
    <x v="4"/>
    <x v="0"/>
    <n v="9536"/>
    <n v="10851"/>
    <x v="4"/>
    <x v="4"/>
    <n v="12150.46"/>
    <m/>
    <n v="0"/>
    <n v="1050"/>
    <n v="45035"/>
    <n v="47792.3"/>
    <x v="4"/>
    <x v="4"/>
    <x v="4"/>
    <x v="1"/>
    <x v="0"/>
  </r>
  <r>
    <n v="6"/>
    <s v="3560"/>
    <x v="5"/>
    <x v="1"/>
    <n v="2025"/>
    <x v="0"/>
    <x v="5"/>
    <s v="1064"/>
    <x v="5"/>
    <x v="0"/>
    <n v="13071"/>
    <n v="14249"/>
    <x v="5"/>
    <x v="5"/>
    <n v="9372.7199999999993"/>
    <m/>
    <n v="0"/>
    <n v="670"/>
    <n v="57534"/>
    <n v="40455.966666666667"/>
    <x v="5"/>
    <x v="5"/>
    <x v="5"/>
    <x v="1"/>
    <x v="0"/>
  </r>
  <r>
    <n v="7"/>
    <s v="5093"/>
    <x v="6"/>
    <x v="4"/>
    <n v="2019"/>
    <x v="0"/>
    <x v="6"/>
    <s v="1071"/>
    <x v="6"/>
    <x v="0"/>
    <n v="105960"/>
    <n v="109231"/>
    <x v="6"/>
    <x v="6"/>
    <n v="28419.72"/>
    <m/>
    <n v="448"/>
    <n v="8135"/>
    <n v="0"/>
    <n v="35372.300000000003"/>
    <x v="6"/>
    <x v="6"/>
    <x v="6"/>
    <x v="1"/>
    <x v="0"/>
  </r>
  <r>
    <n v="8"/>
    <s v="5921"/>
    <x v="7"/>
    <x v="1"/>
    <m/>
    <x v="1"/>
    <x v="7"/>
    <s v="1036"/>
    <x v="7"/>
    <x v="0"/>
    <n v="118018"/>
    <n v="121419"/>
    <x v="7"/>
    <x v="7"/>
    <n v="25935"/>
    <n v="700"/>
    <n v="6917"/>
    <n v="4440"/>
    <n v="54000"/>
    <n v="45708.05"/>
    <x v="7"/>
    <x v="7"/>
    <x v="7"/>
    <x v="1"/>
    <x v="0"/>
  </r>
  <r>
    <n v="9"/>
    <s v="8495"/>
    <x v="8"/>
    <x v="5"/>
    <m/>
    <x v="1"/>
    <x v="8"/>
    <s v="1003"/>
    <x v="8"/>
    <x v="0"/>
    <n v="138717"/>
    <n v="141278"/>
    <x v="8"/>
    <x v="8"/>
    <n v="19564.3"/>
    <n v="570"/>
    <n v="7905"/>
    <n v="0"/>
    <n v="32000"/>
    <n v="6686.8271999999997"/>
    <x v="8"/>
    <x v="8"/>
    <x v="8"/>
    <x v="1"/>
    <x v="0"/>
  </r>
  <r>
    <n v="10"/>
    <s v="8938"/>
    <x v="9"/>
    <x v="5"/>
    <m/>
    <x v="1"/>
    <x v="9"/>
    <s v="0193"/>
    <x v="8"/>
    <x v="0"/>
    <n v="72063"/>
    <n v="75534"/>
    <x v="9"/>
    <x v="9"/>
    <n v="30067.239999999998"/>
    <n v="240"/>
    <n v="0"/>
    <n v="6095"/>
    <n v="35297"/>
    <n v="47561.716666666674"/>
    <x v="9"/>
    <x v="9"/>
    <x v="0"/>
    <x v="2"/>
    <x v="0"/>
  </r>
  <r>
    <n v="11"/>
    <s v="1538"/>
    <x v="10"/>
    <x v="1"/>
    <m/>
    <x v="2"/>
    <x v="10"/>
    <s v="0182"/>
    <x v="9"/>
    <x v="0"/>
    <n v="46136"/>
    <n v="48585"/>
    <x v="10"/>
    <x v="10"/>
    <n v="19475"/>
    <m/>
    <n v="672"/>
    <n v="5810"/>
    <n v="55000"/>
    <n v="33958.800000000003"/>
    <x v="10"/>
    <x v="10"/>
    <x v="9"/>
    <x v="1"/>
    <x v="0"/>
  </r>
  <r>
    <n v="12"/>
    <s v="0292"/>
    <x v="11"/>
    <x v="1"/>
    <m/>
    <x v="3"/>
    <x v="11"/>
    <s v="1010"/>
    <x v="2"/>
    <x v="0"/>
    <n v="45346"/>
    <n v="47980"/>
    <x v="11"/>
    <x v="11"/>
    <n v="20874"/>
    <m/>
    <n v="0"/>
    <n v="1975"/>
    <n v="55000"/>
    <n v="50719.3"/>
    <x v="11"/>
    <x v="11"/>
    <x v="10"/>
    <x v="1"/>
    <x v="0"/>
  </r>
  <r>
    <n v="13"/>
    <s v="0944"/>
    <x v="12"/>
    <x v="1"/>
    <m/>
    <x v="3"/>
    <x v="12"/>
    <s v="1026"/>
    <x v="9"/>
    <x v="0"/>
    <n v="59510"/>
    <n v="63258"/>
    <x v="12"/>
    <x v="12"/>
    <n v="29830"/>
    <m/>
    <n v="2016"/>
    <n v="8310"/>
    <n v="59540"/>
    <n v="39888.550000000003"/>
    <x v="12"/>
    <x v="12"/>
    <x v="11"/>
    <x v="1"/>
    <x v="0"/>
  </r>
  <r>
    <n v="14"/>
    <s v="1096"/>
    <x v="13"/>
    <x v="5"/>
    <m/>
    <x v="3"/>
    <x v="13"/>
    <s v="1007"/>
    <x v="3"/>
    <x v="0"/>
    <n v="80924"/>
    <n v="84242"/>
    <x v="13"/>
    <x v="13"/>
    <n v="26463.29"/>
    <m/>
    <n v="170"/>
    <n v="6210"/>
    <n v="0"/>
    <n v="49605.883333333339"/>
    <x v="13"/>
    <x v="13"/>
    <x v="12"/>
    <x v="1"/>
    <x v="0"/>
  </r>
  <r>
    <n v="15"/>
    <s v="4866"/>
    <x v="14"/>
    <x v="5"/>
    <m/>
    <x v="3"/>
    <x v="14"/>
    <s v="1062"/>
    <x v="10"/>
    <x v="0"/>
    <n v="31642"/>
    <n v="34130"/>
    <x v="14"/>
    <x v="14"/>
    <n v="20079.150000000001"/>
    <m/>
    <n v="490"/>
    <n v="5430"/>
    <n v="35000"/>
    <n v="38853.066666666666"/>
    <x v="14"/>
    <x v="14"/>
    <x v="13"/>
    <x v="1"/>
    <x v="0"/>
  </r>
  <r>
    <n v="16"/>
    <s v="1194"/>
    <x v="15"/>
    <x v="5"/>
    <m/>
    <x v="3"/>
    <x v="15"/>
    <s v="1060"/>
    <x v="10"/>
    <x v="0"/>
    <n v="31140"/>
    <n v="33209"/>
    <x v="15"/>
    <x v="15"/>
    <n v="18946.48"/>
    <n v="130"/>
    <n v="0"/>
    <n v="4305"/>
    <n v="35000"/>
    <n v="39352.633333333331"/>
    <x v="15"/>
    <x v="15"/>
    <x v="14"/>
    <x v="1"/>
    <x v="0"/>
  </r>
  <r>
    <n v="17"/>
    <s v="5895"/>
    <x v="16"/>
    <x v="5"/>
    <m/>
    <x v="3"/>
    <x v="16"/>
    <s v="0405"/>
    <x v="11"/>
    <x v="0"/>
    <n v="47087"/>
    <n v="48652"/>
    <x v="16"/>
    <x v="16"/>
    <n v="13900.95"/>
    <m/>
    <n v="0"/>
    <n v="930"/>
    <n v="30000"/>
    <n v="48682.8"/>
    <x v="16"/>
    <x v="16"/>
    <x v="15"/>
    <x v="1"/>
    <x v="0"/>
  </r>
  <r>
    <n v="18"/>
    <s v="7616"/>
    <x v="17"/>
    <x v="0"/>
    <m/>
    <x v="3"/>
    <x v="17"/>
    <s v="1039"/>
    <x v="12"/>
    <x v="0"/>
    <n v="70275"/>
    <n v="70950"/>
    <x v="17"/>
    <x v="17"/>
    <n v="0"/>
    <m/>
    <n v="0"/>
    <n v="985"/>
    <n v="68000"/>
    <n v="32327.3"/>
    <x v="17"/>
    <x v="17"/>
    <x v="16"/>
    <x v="1"/>
    <x v="0"/>
  </r>
  <r>
    <n v="19"/>
    <s v="2987"/>
    <x v="18"/>
    <x v="1"/>
    <m/>
    <x v="3"/>
    <x v="18"/>
    <s v="1075"/>
    <x v="7"/>
    <x v="0"/>
    <n v="56504"/>
    <n v="57575"/>
    <x v="18"/>
    <x v="18"/>
    <n v="9690"/>
    <m/>
    <n v="1791"/>
    <n v="3295"/>
    <n v="53000"/>
    <n v="35386.716666666667"/>
    <x v="18"/>
    <x v="18"/>
    <x v="17"/>
    <x v="1"/>
    <x v="0"/>
  </r>
  <r>
    <n v="20"/>
    <s v="9469"/>
    <x v="19"/>
    <x v="1"/>
    <m/>
    <x v="4"/>
    <x v="19"/>
    <s v="0467"/>
    <x v="7"/>
    <x v="0"/>
    <n v="92708"/>
    <n v="96509"/>
    <x v="19"/>
    <x v="19"/>
    <n v="28690"/>
    <n v="100"/>
    <n v="6917"/>
    <n v="8515"/>
    <n v="62074"/>
    <n v="46534.000000000007"/>
    <x v="19"/>
    <x v="19"/>
    <x v="18"/>
    <x v="1"/>
    <x v="0"/>
  </r>
  <r>
    <n v="21"/>
    <s v="5680"/>
    <x v="20"/>
    <x v="6"/>
    <m/>
    <x v="4"/>
    <x v="20"/>
    <s v="1053"/>
    <x v="2"/>
    <x v="0"/>
    <n v="80819"/>
    <n v="84825"/>
    <x v="20"/>
    <x v="20"/>
    <n v="28890"/>
    <m/>
    <n v="0"/>
    <n v="6250"/>
    <n v="41054"/>
    <n v="59062.3"/>
    <x v="20"/>
    <x v="20"/>
    <x v="19"/>
    <x v="1"/>
    <x v="0"/>
  </r>
  <r>
    <n v="22"/>
    <s v="1428"/>
    <x v="21"/>
    <x v="7"/>
    <m/>
    <x v="4"/>
    <x v="21"/>
    <s v="0468"/>
    <x v="10"/>
    <x v="0"/>
    <n v="29126"/>
    <n v="31122"/>
    <x v="21"/>
    <x v="21"/>
    <n v="11532.64"/>
    <n v="140"/>
    <n v="0"/>
    <n v="4175"/>
    <n v="55000"/>
    <n v="38714.300000000003"/>
    <x v="21"/>
    <x v="21"/>
    <x v="20"/>
    <x v="1"/>
    <x v="0"/>
  </r>
  <r>
    <n v="23"/>
    <s v="1040"/>
    <x v="22"/>
    <x v="5"/>
    <m/>
    <x v="4"/>
    <x v="22"/>
    <s v="1051"/>
    <x v="13"/>
    <x v="0"/>
    <n v="104520"/>
    <n v="108500"/>
    <x v="22"/>
    <x v="22"/>
    <n v="35009.800000000003"/>
    <m/>
    <n v="1530"/>
    <n v="5440"/>
    <n v="38020"/>
    <n v="30331.3"/>
    <x v="22"/>
    <x v="22"/>
    <x v="21"/>
    <x v="1"/>
    <x v="0"/>
  </r>
  <r>
    <n v="24"/>
    <s v="2522"/>
    <x v="23"/>
    <x v="8"/>
    <m/>
    <x v="5"/>
    <x v="23"/>
    <s v="1063"/>
    <x v="2"/>
    <x v="0"/>
    <n v="0"/>
    <n v="0"/>
    <x v="23"/>
    <x v="23"/>
    <n v="0"/>
    <m/>
    <n v="0"/>
    <n v="0"/>
    <n v="0"/>
    <n v="34091.300000000003"/>
    <x v="23"/>
    <x v="23"/>
    <x v="22"/>
    <x v="1"/>
    <x v="0"/>
  </r>
  <r>
    <n v="25"/>
    <s v="2856"/>
    <x v="24"/>
    <x v="1"/>
    <m/>
    <x v="1"/>
    <x v="24"/>
    <s v="1047"/>
    <x v="14"/>
    <x v="0"/>
    <n v="89405"/>
    <n v="92212"/>
    <x v="24"/>
    <x v="24"/>
    <n v="25175"/>
    <n v="510"/>
    <n v="10265"/>
    <n v="2625"/>
    <n v="51395"/>
    <n v="48686.8"/>
    <x v="24"/>
    <x v="24"/>
    <x v="23"/>
    <x v="1"/>
    <x v="0"/>
  </r>
  <r>
    <n v="26"/>
    <s v="8299"/>
    <x v="25"/>
    <x v="3"/>
    <n v="2026"/>
    <x v="0"/>
    <x v="25"/>
    <s v="1080"/>
    <x v="15"/>
    <x v="0"/>
    <n v="1931"/>
    <n v="3670"/>
    <x v="25"/>
    <x v="25"/>
    <n v="17298.96"/>
    <m/>
    <n v="360"/>
    <n v="3580"/>
    <n v="46546"/>
    <n v="33394.300000000003"/>
    <x v="25"/>
    <x v="25"/>
    <x v="24"/>
    <x v="1"/>
    <x v="0"/>
  </r>
  <r>
    <n v="27"/>
    <s v="1846"/>
    <x v="26"/>
    <x v="5"/>
    <m/>
    <x v="3"/>
    <x v="26"/>
    <n v="1065"/>
    <x v="16"/>
    <x v="1"/>
    <n v="141064"/>
    <n v="144197"/>
    <x v="26"/>
    <x v="26"/>
    <n v="60491"/>
    <m/>
    <n v="9690"/>
    <n v="19375"/>
    <n v="101064"/>
    <n v="125542"/>
    <x v="26"/>
    <x v="26"/>
    <x v="25"/>
    <x v="1"/>
    <x v="1"/>
  </r>
  <r>
    <n v="28"/>
    <s v="4572"/>
    <x v="27"/>
    <x v="1"/>
    <m/>
    <x v="3"/>
    <x v="27"/>
    <s v="0353"/>
    <x v="17"/>
    <x v="1"/>
    <n v="74896"/>
    <n v="78682"/>
    <x v="27"/>
    <x v="27"/>
    <n v="27835"/>
    <n v="99"/>
    <n v="0"/>
    <n v="11370"/>
    <n v="47860"/>
    <n v="49774.716666666667"/>
    <x v="27"/>
    <x v="27"/>
    <x v="26"/>
    <x v="1"/>
    <x v="0"/>
  </r>
  <r>
    <n v="29"/>
    <s v="8668"/>
    <x v="28"/>
    <x v="1"/>
    <n v="2018"/>
    <x v="0"/>
    <x v="28"/>
    <s v="1070"/>
    <x v="17"/>
    <x v="1"/>
    <n v="222552"/>
    <n v="225933"/>
    <x v="28"/>
    <x v="28"/>
    <n v="41085.03"/>
    <n v="2440"/>
    <n v="0"/>
    <n v="11784"/>
    <n v="0"/>
    <n v="43084.466666666674"/>
    <x v="28"/>
    <x v="28"/>
    <x v="27"/>
    <x v="1"/>
    <x v="0"/>
  </r>
  <r>
    <n v="30"/>
    <s v="5134"/>
    <x v="29"/>
    <x v="1"/>
    <n v="2019"/>
    <x v="0"/>
    <x v="29"/>
    <s v="1069"/>
    <x v="17"/>
    <x v="1"/>
    <n v="212844"/>
    <n v="215599"/>
    <x v="29"/>
    <x v="29"/>
    <n v="23336.16"/>
    <n v="170"/>
    <n v="4480"/>
    <n v="6960"/>
    <n v="0"/>
    <n v="43801.716666666674"/>
    <x v="29"/>
    <x v="29"/>
    <x v="28"/>
    <x v="1"/>
    <x v="0"/>
  </r>
  <r>
    <n v="31"/>
    <s v="3603"/>
    <x v="30"/>
    <x v="4"/>
    <n v="2019"/>
    <x v="0"/>
    <x v="30"/>
    <s v="1066"/>
    <x v="18"/>
    <x v="1"/>
    <n v="158516"/>
    <n v="161545"/>
    <x v="30"/>
    <x v="30"/>
    <n v="28316.75"/>
    <m/>
    <n v="0"/>
    <n v="5817"/>
    <n v="0"/>
    <n v="43608.3"/>
    <x v="30"/>
    <x v="30"/>
    <x v="0"/>
    <x v="3"/>
    <x v="0"/>
  </r>
  <r>
    <n v="32"/>
    <s v="3526"/>
    <x v="31"/>
    <x v="1"/>
    <n v="2019"/>
    <x v="0"/>
    <x v="31"/>
    <s v="0312"/>
    <x v="17"/>
    <x v="1"/>
    <n v="179947"/>
    <n v="182465"/>
    <x v="31"/>
    <x v="31"/>
    <n v="34597.919999999998"/>
    <n v="90"/>
    <n v="0"/>
    <n v="2520"/>
    <n v="0"/>
    <n v="43399.683333333334"/>
    <x v="31"/>
    <x v="31"/>
    <x v="29"/>
    <x v="1"/>
    <x v="0"/>
  </r>
  <r>
    <n v="33"/>
    <s v="2477"/>
    <x v="32"/>
    <x v="2"/>
    <n v="2018"/>
    <x v="0"/>
    <x v="32"/>
    <s v="1076"/>
    <x v="19"/>
    <x v="2"/>
    <n v="101548"/>
    <n v="103915"/>
    <x v="32"/>
    <x v="32"/>
    <n v="24918.739999999998"/>
    <n v="700"/>
    <n v="0"/>
    <n v="2500"/>
    <n v="0"/>
    <n v="42701.133333333339"/>
    <x v="32"/>
    <x v="32"/>
    <x v="0"/>
    <x v="4"/>
    <x v="2"/>
  </r>
  <r>
    <n v="34"/>
    <s v="8939"/>
    <x v="33"/>
    <x v="9"/>
    <n v="2020"/>
    <x v="0"/>
    <x v="33"/>
    <s v="1082"/>
    <x v="20"/>
    <x v="2"/>
    <n v="121269"/>
    <n v="123125"/>
    <x v="33"/>
    <x v="33"/>
    <n v="12459.369999999999"/>
    <m/>
    <n v="0"/>
    <n v="2389"/>
    <n v="0"/>
    <n v="35684.222799999996"/>
    <x v="33"/>
    <x v="33"/>
    <x v="0"/>
    <x v="5"/>
    <x v="3"/>
  </r>
  <r>
    <n v="35"/>
    <s v="2373"/>
    <x v="34"/>
    <x v="1"/>
    <m/>
    <x v="3"/>
    <x v="34"/>
    <s v="1032"/>
    <x v="21"/>
    <x v="1"/>
    <n v="69242"/>
    <n v="71720"/>
    <x v="3"/>
    <x v="34"/>
    <n v="17765"/>
    <m/>
    <n v="0"/>
    <n v="10040"/>
    <n v="53000"/>
    <n v="54757.8"/>
    <x v="34"/>
    <x v="34"/>
    <x v="30"/>
    <x v="1"/>
    <x v="0"/>
  </r>
  <r>
    <n v="36"/>
    <s v="0471"/>
    <x v="35"/>
    <x v="4"/>
    <n v="2017"/>
    <x v="0"/>
    <x v="35"/>
    <s v="1077"/>
    <x v="22"/>
    <x v="1"/>
    <n v="220580"/>
    <n v="223400"/>
    <x v="34"/>
    <x v="35"/>
    <n v="29758.329999999998"/>
    <n v="420"/>
    <n v="4241"/>
    <n v="8630"/>
    <n v="0"/>
    <n v="39938.133333333339"/>
    <x v="35"/>
    <x v="35"/>
    <x v="31"/>
    <x v="1"/>
    <x v="0"/>
  </r>
  <r>
    <n v="37"/>
    <s v="1982"/>
    <x v="36"/>
    <x v="1"/>
    <n v="2020"/>
    <x v="0"/>
    <x v="36"/>
    <s v="0328"/>
    <x v="23"/>
    <x v="1"/>
    <n v="218605"/>
    <n v="222095"/>
    <x v="35"/>
    <x v="36"/>
    <n v="29074.560000000001"/>
    <n v="99"/>
    <n v="0"/>
    <n v="11122"/>
    <n v="0"/>
    <n v="39520.300000000003"/>
    <x v="36"/>
    <x v="36"/>
    <x v="32"/>
    <x v="1"/>
    <x v="0"/>
  </r>
  <r>
    <n v="38"/>
    <s v="Driver"/>
    <x v="37"/>
    <x v="10"/>
    <m/>
    <x v="6"/>
    <x v="37"/>
    <s v="1079"/>
    <x v="19"/>
    <x v="3"/>
    <n v="0"/>
    <n v="0"/>
    <x v="23"/>
    <x v="23"/>
    <n v="0"/>
    <m/>
    <n v="0"/>
    <n v="0"/>
    <n v="0"/>
    <n v="47334.919133333337"/>
    <x v="37"/>
    <x v="37"/>
    <x v="33"/>
    <x v="1"/>
    <x v="0"/>
  </r>
  <r>
    <n v="39"/>
    <s v="Driver"/>
    <x v="38"/>
    <x v="10"/>
    <m/>
    <x v="6"/>
    <x v="38"/>
    <s v="0472"/>
    <x v="19"/>
    <x v="3"/>
    <n v="0"/>
    <n v="0"/>
    <x v="23"/>
    <x v="23"/>
    <n v="0"/>
    <m/>
    <n v="0"/>
    <n v="0"/>
    <n v="0"/>
    <n v="45575.233333333337"/>
    <x v="38"/>
    <x v="38"/>
    <x v="34"/>
    <x v="1"/>
    <x v="0"/>
  </r>
  <r>
    <n v="40"/>
    <s v="Driver"/>
    <x v="39"/>
    <x v="10"/>
    <m/>
    <x v="6"/>
    <x v="39"/>
    <s v="0417"/>
    <x v="19"/>
    <x v="3"/>
    <n v="0"/>
    <n v="0"/>
    <x v="23"/>
    <x v="23"/>
    <n v="0"/>
    <m/>
    <n v="0"/>
    <n v="0"/>
    <n v="0"/>
    <n v="42058.3"/>
    <x v="39"/>
    <x v="39"/>
    <x v="35"/>
    <x v="1"/>
    <x v="0"/>
  </r>
  <r>
    <n v="41"/>
    <s v="Driver"/>
    <x v="40"/>
    <x v="10"/>
    <m/>
    <x v="6"/>
    <x v="40"/>
    <s v="0453"/>
    <x v="19"/>
    <x v="3"/>
    <n v="0"/>
    <n v="0"/>
    <x v="23"/>
    <x v="23"/>
    <n v="0"/>
    <m/>
    <n v="0"/>
    <n v="0"/>
    <n v="0"/>
    <n v="42467.55"/>
    <x v="40"/>
    <x v="40"/>
    <x v="36"/>
    <x v="1"/>
    <x v="0"/>
  </r>
  <r>
    <n v="42"/>
    <s v="4206"/>
    <x v="41"/>
    <x v="1"/>
    <m/>
    <x v="0"/>
    <x v="41"/>
    <s v="1031"/>
    <x v="24"/>
    <x v="1"/>
    <n v="11338"/>
    <n v="16479"/>
    <x v="36"/>
    <x v="37"/>
    <n v="39594.959999999999"/>
    <m/>
    <n v="671"/>
    <n v="12911"/>
    <n v="66428"/>
    <n v="52260.133333333331"/>
    <x v="41"/>
    <x v="41"/>
    <x v="37"/>
    <x v="1"/>
    <x v="0"/>
  </r>
  <r>
    <n v="43"/>
    <s v="4440"/>
    <x v="42"/>
    <x v="4"/>
    <n v="2019"/>
    <x v="0"/>
    <x v="42"/>
    <s v="1078"/>
    <x v="25"/>
    <x v="1"/>
    <n v="185425"/>
    <n v="188368"/>
    <x v="37"/>
    <x v="38"/>
    <n v="28110.81"/>
    <m/>
    <n v="4241"/>
    <n v="11002"/>
    <n v="0"/>
    <n v="43339.466666666667"/>
    <x v="42"/>
    <x v="42"/>
    <x v="38"/>
    <x v="1"/>
    <x v="0"/>
  </r>
  <r>
    <n v="44"/>
    <s v="1451"/>
    <x v="43"/>
    <x v="11"/>
    <n v="2019"/>
    <x v="0"/>
    <x v="43"/>
    <n v="240713"/>
    <x v="4"/>
    <x v="1"/>
    <n v="240546"/>
    <n v="242447"/>
    <x v="38"/>
    <x v="39"/>
    <n v="18946.48"/>
    <n v="478"/>
    <n v="1530"/>
    <n v="3235"/>
    <n v="0"/>
    <n v="12160.9092"/>
    <x v="43"/>
    <x v="43"/>
    <x v="39"/>
    <x v="1"/>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827A6C5-F52D-49A9-ACEB-DCB108CDFE34}"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Cab No.">
  <location ref="A1:C46" firstHeaderRow="0" firstDataRow="1" firstDataCol="1"/>
  <pivotFields count="25">
    <pivotField showAll="0"/>
    <pivotField showAll="0"/>
    <pivotField axis="axisRow" showAll="0">
      <items count="45">
        <item x="4"/>
        <item x="21"/>
        <item x="14"/>
        <item x="3"/>
        <item x="41"/>
        <item x="25"/>
        <item x="43"/>
        <item x="31"/>
        <item x="6"/>
        <item x="33"/>
        <item x="36"/>
        <item x="15"/>
        <item x="0"/>
        <item x="12"/>
        <item x="34"/>
        <item x="24"/>
        <item x="11"/>
        <item x="18"/>
        <item x="10"/>
        <item x="16"/>
        <item x="17"/>
        <item x="19"/>
        <item x="22"/>
        <item x="20"/>
        <item x="35"/>
        <item x="32"/>
        <item x="28"/>
        <item x="29"/>
        <item x="42"/>
        <item x="30"/>
        <item x="1"/>
        <item x="26"/>
        <item x="7"/>
        <item x="8"/>
        <item x="13"/>
        <item x="5"/>
        <item x="2"/>
        <item x="27"/>
        <item x="9"/>
        <item x="37"/>
        <item x="38"/>
        <item x="39"/>
        <item x="40"/>
        <item x="23"/>
        <item t="default"/>
      </items>
    </pivotField>
    <pivotField showAll="0"/>
    <pivotField showAll="0"/>
    <pivotField showAll="0"/>
    <pivotField showAll="0"/>
    <pivotField showAll="0"/>
    <pivotField showAll="0"/>
    <pivotField showAll="0"/>
    <pivotField showAll="0"/>
    <pivotField showAll="0"/>
    <pivotField showAll="0"/>
    <pivotField showAll="0"/>
    <pivotField numFmtId="164" showAll="0"/>
    <pivotField showAll="0"/>
    <pivotField numFmtId="164" showAll="0"/>
    <pivotField numFmtId="164" showAll="0"/>
    <pivotField numFmtId="164" showAll="0"/>
    <pivotField numFmtId="164" showAll="0"/>
    <pivotField numFmtId="164" showAll="0"/>
    <pivotField numFmtId="164" showAll="0"/>
    <pivotField dataField="1" showAll="0"/>
    <pivotField dataField="1" showAll="0"/>
    <pivotField showAll="0"/>
  </pivotFields>
  <rowFields count="1">
    <field x="2"/>
  </rowFields>
  <rowItems count="45">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t="grand">
      <x/>
    </i>
  </rowItems>
  <colFields count="1">
    <field x="-2"/>
  </colFields>
  <colItems count="2">
    <i>
      <x/>
    </i>
    <i i="1">
      <x v="1"/>
    </i>
  </colItems>
  <dataFields count="2">
    <dataField name="NET PROFIT AMT" fld="22" baseField="2" baseItem="0"/>
    <dataField name="NET LOSS AMT." fld="23" baseField="2"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BCAB12D-B096-48B2-9E7C-5E39F404F420}"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Cab No.">
  <location ref="A3:G48" firstHeaderRow="0" firstDataRow="1" firstDataCol="1"/>
  <pivotFields count="25">
    <pivotField showAll="0"/>
    <pivotField showAll="0"/>
    <pivotField axis="axisRow" showAll="0">
      <items count="45">
        <item x="4"/>
        <item x="21"/>
        <item x="14"/>
        <item x="3"/>
        <item x="41"/>
        <item x="25"/>
        <item x="43"/>
        <item x="31"/>
        <item x="6"/>
        <item x="33"/>
        <item x="36"/>
        <item x="15"/>
        <item x="0"/>
        <item x="12"/>
        <item x="34"/>
        <item x="24"/>
        <item x="11"/>
        <item x="18"/>
        <item x="10"/>
        <item x="16"/>
        <item x="17"/>
        <item x="19"/>
        <item x="22"/>
        <item x="20"/>
        <item x="35"/>
        <item x="32"/>
        <item x="28"/>
        <item x="29"/>
        <item x="42"/>
        <item x="30"/>
        <item x="1"/>
        <item x="26"/>
        <item x="7"/>
        <item x="8"/>
        <item x="13"/>
        <item x="5"/>
        <item x="2"/>
        <item x="27"/>
        <item x="9"/>
        <item x="37"/>
        <item x="38"/>
        <item x="39"/>
        <item x="40"/>
        <item x="23"/>
        <item t="default"/>
      </items>
    </pivotField>
    <pivotField showAll="0">
      <items count="13">
        <item x="2"/>
        <item x="4"/>
        <item x="11"/>
        <item x="1"/>
        <item x="9"/>
        <item x="3"/>
        <item x="8"/>
        <item x="0"/>
        <item x="7"/>
        <item x="6"/>
        <item x="5"/>
        <item x="10"/>
        <item t="default"/>
      </items>
    </pivotField>
    <pivotField showAll="0"/>
    <pivotField showAll="0">
      <items count="8">
        <item x="0"/>
        <item x="1"/>
        <item x="5"/>
        <item x="2"/>
        <item x="3"/>
        <item x="4"/>
        <item x="6"/>
        <item t="default"/>
      </items>
    </pivotField>
    <pivotField showAll="0">
      <items count="45">
        <item x="34"/>
        <item x="33"/>
        <item x="30"/>
        <item x="41"/>
        <item x="17"/>
        <item x="8"/>
        <item x="9"/>
        <item x="16"/>
        <item x="24"/>
        <item x="38"/>
        <item x="0"/>
        <item x="39"/>
        <item x="14"/>
        <item x="6"/>
        <item x="12"/>
        <item x="1"/>
        <item x="40"/>
        <item x="5"/>
        <item x="29"/>
        <item x="15"/>
        <item x="22"/>
        <item x="28"/>
        <item x="11"/>
        <item x="18"/>
        <item x="35"/>
        <item x="36"/>
        <item x="2"/>
        <item x="3"/>
        <item x="10"/>
        <item x="13"/>
        <item x="26"/>
        <item x="42"/>
        <item x="23"/>
        <item x="20"/>
        <item x="7"/>
        <item x="32"/>
        <item x="25"/>
        <item x="27"/>
        <item x="43"/>
        <item x="4"/>
        <item x="19"/>
        <item x="21"/>
        <item x="37"/>
        <item x="31"/>
        <item t="default"/>
      </items>
    </pivotField>
    <pivotField showAll="0"/>
    <pivotField showAll="0">
      <items count="27">
        <item x="14"/>
        <item x="1"/>
        <item x="13"/>
        <item x="18"/>
        <item x="16"/>
        <item x="0"/>
        <item x="17"/>
        <item x="23"/>
        <item x="24"/>
        <item x="21"/>
        <item x="4"/>
        <item x="6"/>
        <item x="25"/>
        <item x="22"/>
        <item x="12"/>
        <item x="2"/>
        <item x="15"/>
        <item x="20"/>
        <item x="10"/>
        <item x="9"/>
        <item x="8"/>
        <item x="3"/>
        <item x="11"/>
        <item x="5"/>
        <item x="7"/>
        <item x="19"/>
        <item t="default"/>
      </items>
    </pivotField>
    <pivotField showAll="0">
      <items count="5">
        <item x="0"/>
        <item x="2"/>
        <item x="1"/>
        <item x="3"/>
        <item t="default"/>
      </items>
    </pivotField>
    <pivotField showAll="0"/>
    <pivotField showAll="0"/>
    <pivotField showAll="0">
      <items count="41">
        <item x="23"/>
        <item x="17"/>
        <item x="1"/>
        <item x="18"/>
        <item x="5"/>
        <item x="4"/>
        <item x="16"/>
        <item x="25"/>
        <item x="33"/>
        <item x="38"/>
        <item x="21"/>
        <item x="15"/>
        <item x="32"/>
        <item x="10"/>
        <item x="3"/>
        <item x="14"/>
        <item x="31"/>
        <item x="8"/>
        <item x="11"/>
        <item x="29"/>
        <item x="24"/>
        <item x="34"/>
        <item x="2"/>
        <item x="37"/>
        <item x="30"/>
        <item m="1" x="39"/>
        <item x="6"/>
        <item x="13"/>
        <item x="28"/>
        <item x="7"/>
        <item x="9"/>
        <item x="35"/>
        <item x="12"/>
        <item x="27"/>
        <item x="19"/>
        <item x="0"/>
        <item x="22"/>
        <item x="20"/>
        <item x="36"/>
        <item x="26"/>
        <item t="default"/>
      </items>
    </pivotField>
    <pivotField showAll="0">
      <items count="41">
        <item x="23"/>
        <item x="31"/>
        <item x="1"/>
        <item x="28"/>
        <item x="35"/>
        <item x="32"/>
        <item x="2"/>
        <item x="39"/>
        <item x="25"/>
        <item x="18"/>
        <item x="24"/>
        <item x="38"/>
        <item x="30"/>
        <item x="4"/>
        <item x="15"/>
        <item x="29"/>
        <item x="26"/>
        <item x="36"/>
        <item x="16"/>
        <item x="22"/>
        <item x="6"/>
        <item x="9"/>
        <item x="12"/>
        <item x="10"/>
        <item x="5"/>
        <item x="3"/>
        <item x="11"/>
        <item x="37"/>
        <item x="7"/>
        <item x="20"/>
        <item x="19"/>
        <item x="14"/>
        <item x="13"/>
        <item x="27"/>
        <item x="0"/>
        <item x="34"/>
        <item x="8"/>
        <item x="33"/>
        <item x="21"/>
        <item x="17"/>
        <item t="default"/>
      </items>
    </pivotField>
    <pivotField dataField="1" numFmtId="164" showAll="0"/>
    <pivotField dataField="1" showAll="0"/>
    <pivotField dataField="1" numFmtId="164" showAll="0"/>
    <pivotField dataField="1" numFmtId="164" showAll="0"/>
    <pivotField dataField="1" numFmtId="164" showAll="0"/>
    <pivotField dataField="1" numFmtId="164" showAll="0"/>
    <pivotField numFmtId="164" showAll="0">
      <items count="45">
        <item x="23"/>
        <item x="43"/>
        <item x="39"/>
        <item x="40"/>
        <item x="38"/>
        <item x="37"/>
        <item x="33"/>
        <item x="1"/>
        <item x="8"/>
        <item x="32"/>
        <item x="6"/>
        <item x="30"/>
        <item x="29"/>
        <item x="36"/>
        <item x="31"/>
        <item x="13"/>
        <item x="35"/>
        <item x="42"/>
        <item x="3"/>
        <item x="16"/>
        <item x="15"/>
        <item x="28"/>
        <item x="14"/>
        <item x="25"/>
        <item x="17"/>
        <item x="18"/>
        <item x="4"/>
        <item x="5"/>
        <item x="21"/>
        <item x="22"/>
        <item x="10"/>
        <item x="9"/>
        <item x="11"/>
        <item x="20"/>
        <item x="34"/>
        <item x="27"/>
        <item x="2"/>
        <item x="7"/>
        <item x="24"/>
        <item x="12"/>
        <item x="0"/>
        <item x="19"/>
        <item x="41"/>
        <item x="26"/>
        <item t="default"/>
      </items>
    </pivotField>
    <pivotField numFmtId="164" showAll="0">
      <items count="45">
        <item x="33"/>
        <item x="39"/>
        <item x="32"/>
        <item x="37"/>
        <item x="40"/>
        <item x="38"/>
        <item x="30"/>
        <item x="6"/>
        <item x="31"/>
        <item x="1"/>
        <item x="3"/>
        <item x="8"/>
        <item x="43"/>
        <item x="16"/>
        <item x="17"/>
        <item x="9"/>
        <item x="15"/>
        <item x="22"/>
        <item x="14"/>
        <item x="25"/>
        <item x="23"/>
        <item x="4"/>
        <item x="13"/>
        <item x="10"/>
        <item x="0"/>
        <item x="21"/>
        <item x="18"/>
        <item x="5"/>
        <item x="35"/>
        <item x="20"/>
        <item x="34"/>
        <item x="2"/>
        <item x="7"/>
        <item x="42"/>
        <item x="11"/>
        <item x="12"/>
        <item x="19"/>
        <item x="29"/>
        <item x="24"/>
        <item x="36"/>
        <item x="28"/>
        <item x="27"/>
        <item x="41"/>
        <item x="26"/>
        <item t="default"/>
      </items>
    </pivotField>
    <pivotField showAll="0">
      <items count="41">
        <item x="21"/>
        <item x="35"/>
        <item x="33"/>
        <item x="16"/>
        <item x="3"/>
        <item x="6"/>
        <item x="15"/>
        <item x="34"/>
        <item x="13"/>
        <item x="36"/>
        <item x="14"/>
        <item x="29"/>
        <item x="9"/>
        <item x="19"/>
        <item x="4"/>
        <item x="30"/>
        <item x="24"/>
        <item x="2"/>
        <item x="20"/>
        <item x="25"/>
        <item x="18"/>
        <item x="5"/>
        <item x="7"/>
        <item x="17"/>
        <item x="11"/>
        <item x="8"/>
        <item x="1"/>
        <item x="10"/>
        <item x="12"/>
        <item x="23"/>
        <item x="31"/>
        <item x="39"/>
        <item x="37"/>
        <item x="38"/>
        <item x="22"/>
        <item x="26"/>
        <item x="28"/>
        <item x="27"/>
        <item x="32"/>
        <item x="0"/>
        <item t="default"/>
      </items>
    </pivotField>
    <pivotField showAll="0">
      <items count="7">
        <item x="5"/>
        <item x="4"/>
        <item x="0"/>
        <item x="2"/>
        <item x="3"/>
        <item x="1"/>
        <item t="default"/>
      </items>
    </pivotField>
    <pivotField showAll="0">
      <items count="5">
        <item x="1"/>
        <item x="2"/>
        <item x="3"/>
        <item x="0"/>
        <item t="default"/>
      </items>
    </pivotField>
  </pivotFields>
  <rowFields count="1">
    <field x="2"/>
  </rowFields>
  <rowItems count="45">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t="grand">
      <x/>
    </i>
  </rowItems>
  <colFields count="1">
    <field x="-2"/>
  </colFields>
  <colItems count="6">
    <i>
      <x/>
    </i>
    <i i="1">
      <x v="1"/>
    </i>
    <i i="2">
      <x v="2"/>
    </i>
    <i i="3">
      <x v="3"/>
    </i>
    <i i="4">
      <x v="4"/>
    </i>
    <i i="5">
      <x v="5"/>
    </i>
  </colItems>
  <dataFields count="6">
    <dataField name="FUEL EXPENSE." fld="14" baseField="2" baseItem="0"/>
    <dataField name="VEHICLE MAINTENANCE." fld="15" baseField="2" baseItem="0"/>
    <dataField name="STATE TAX." fld="16" baseField="2" baseItem="0"/>
    <dataField name="FAST TAG/MCD/PARKING." fld="17" baseField="2" baseItem="0"/>
    <dataField name="RENT &amp; DEPRECIATION." fld="18" baseField="2" baseItem="0"/>
    <dataField name="CTC (Driver Salary/Cost)." fld="19" baseField="2" baseItem="0"/>
  </dataFields>
  <chartFormats count="1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 chart="0" format="4" series="1">
      <pivotArea type="data" outline="0" fieldPosition="0">
        <references count="1">
          <reference field="4294967294" count="1" selected="0">
            <x v="4"/>
          </reference>
        </references>
      </pivotArea>
    </chartFormat>
    <chartFormat chart="0" format="5" series="1">
      <pivotArea type="data" outline="0" fieldPosition="0">
        <references count="1">
          <reference field="4294967294" count="1" selected="0">
            <x v="5"/>
          </reference>
        </references>
      </pivotArea>
    </chartFormat>
    <chartFormat chart="2" format="12" series="1">
      <pivotArea type="data" outline="0" fieldPosition="0">
        <references count="1">
          <reference field="4294967294" count="1" selected="0">
            <x v="0"/>
          </reference>
        </references>
      </pivotArea>
    </chartFormat>
    <chartFormat chart="2" format="13" series="1">
      <pivotArea type="data" outline="0" fieldPosition="0">
        <references count="1">
          <reference field="4294967294" count="1" selected="0">
            <x v="1"/>
          </reference>
        </references>
      </pivotArea>
    </chartFormat>
    <chartFormat chart="2" format="14" series="1">
      <pivotArea type="data" outline="0" fieldPosition="0">
        <references count="1">
          <reference field="4294967294" count="1" selected="0">
            <x v="2"/>
          </reference>
        </references>
      </pivotArea>
    </chartFormat>
    <chartFormat chart="2" format="15" series="1">
      <pivotArea type="data" outline="0" fieldPosition="0">
        <references count="1">
          <reference field="4294967294" count="1" selected="0">
            <x v="3"/>
          </reference>
        </references>
      </pivotArea>
    </chartFormat>
    <chartFormat chart="2" format="16" series="1">
      <pivotArea type="data" outline="0" fieldPosition="0">
        <references count="1">
          <reference field="4294967294" count="1" selected="0">
            <x v="4"/>
          </reference>
        </references>
      </pivotArea>
    </chartFormat>
    <chartFormat chart="2" format="17" series="1">
      <pivotArea type="data" outline="0" fieldPosition="0">
        <references count="1">
          <reference field="4294967294"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3777709-BC17-4966-8115-ACBBCE56DEA8}"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20" firstHeaderRow="1" firstDataRow="1" firstDataCol="0"/>
  <pivotFields count="25">
    <pivotField showAll="0"/>
    <pivotField showAll="0"/>
    <pivotField showAll="0">
      <items count="45">
        <item x="4"/>
        <item x="21"/>
        <item x="14"/>
        <item x="3"/>
        <item x="41"/>
        <item x="25"/>
        <item x="43"/>
        <item x="31"/>
        <item x="6"/>
        <item x="33"/>
        <item x="36"/>
        <item x="15"/>
        <item x="0"/>
        <item x="12"/>
        <item x="34"/>
        <item x="24"/>
        <item x="11"/>
        <item x="18"/>
        <item x="10"/>
        <item x="16"/>
        <item x="17"/>
        <item x="19"/>
        <item x="22"/>
        <item x="20"/>
        <item x="35"/>
        <item x="32"/>
        <item x="28"/>
        <item x="29"/>
        <item x="42"/>
        <item x="30"/>
        <item x="1"/>
        <item x="26"/>
        <item x="7"/>
        <item x="8"/>
        <item x="13"/>
        <item x="5"/>
        <item x="2"/>
        <item x="27"/>
        <item x="9"/>
        <item x="37"/>
        <item x="38"/>
        <item x="39"/>
        <item x="40"/>
        <item x="23"/>
        <item t="default"/>
      </items>
    </pivotField>
    <pivotField showAll="0"/>
    <pivotField showAll="0"/>
    <pivotField showAll="0"/>
    <pivotField showAll="0"/>
    <pivotField showAll="0"/>
    <pivotField showAll="0"/>
    <pivotField showAll="0"/>
    <pivotField showAll="0"/>
    <pivotField showAll="0"/>
    <pivotField showAll="0"/>
    <pivotField showAll="0"/>
    <pivotField numFmtId="164" showAll="0"/>
    <pivotField showAll="0"/>
    <pivotField numFmtId="164" showAll="0"/>
    <pivotField numFmtId="164" showAll="0"/>
    <pivotField numFmtId="164" showAll="0"/>
    <pivotField numFmtId="164" showAll="0"/>
    <pivotField numFmtId="164" showAll="0"/>
    <pivotField numFmtId="164" showAll="0"/>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VEHICLE_NUMBER" xr10:uid="{1C23EC32-AE74-472F-A7DB-138A56B126DE}" sourceName="VEHICLE NUMBER">
  <pivotTables>
    <pivotTable tabId="3" name="PivotTable4"/>
    <pivotTable tabId="2" name="PivotTable3"/>
    <pivotTable tabId="5" name="PivotTable5"/>
  </pivotTables>
  <data>
    <tabular pivotCacheId="50484904">
      <items count="44">
        <i x="4" s="1"/>
        <i x="21" s="1"/>
        <i x="14" s="1"/>
        <i x="3" s="1"/>
        <i x="41" s="1"/>
        <i x="25" s="1"/>
        <i x="43" s="1"/>
        <i x="31" s="1"/>
        <i x="6" s="1"/>
        <i x="33" s="1"/>
        <i x="36" s="1"/>
        <i x="15" s="1"/>
        <i x="0" s="1"/>
        <i x="12" s="1"/>
        <i x="34" s="1"/>
        <i x="24" s="1"/>
        <i x="11" s="1"/>
        <i x="18" s="1"/>
        <i x="10" s="1"/>
        <i x="16" s="1"/>
        <i x="17" s="1"/>
        <i x="19" s="1"/>
        <i x="22" s="1"/>
        <i x="20" s="1"/>
        <i x="35" s="1"/>
        <i x="32" s="1"/>
        <i x="28" s="1"/>
        <i x="29" s="1"/>
        <i x="42" s="1"/>
        <i x="30" s="1"/>
        <i x="1" s="1"/>
        <i x="26" s="1"/>
        <i x="7" s="1"/>
        <i x="8" s="1"/>
        <i x="13" s="1"/>
        <i x="5" s="1"/>
        <i x="2" s="1"/>
        <i x="27" s="1"/>
        <i x="9" s="1"/>
        <i x="37" s="1"/>
        <i x="38" s="1"/>
        <i x="39" s="1"/>
        <i x="40" s="1"/>
        <i x="2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RIVER_NAME" xr10:uid="{1B984695-73E5-4B15-9536-3D9E7BD477A4}" sourceName="DRIVER NAME">
  <pivotTables>
    <pivotTable tabId="3" name="PivotTable4"/>
  </pivotTables>
  <data>
    <tabular pivotCacheId="50484904">
      <items count="44">
        <i x="34" s="1"/>
        <i x="33" s="1"/>
        <i x="30" s="1"/>
        <i x="41" s="1"/>
        <i x="17" s="1"/>
        <i x="8" s="1"/>
        <i x="9" s="1"/>
        <i x="16" s="1"/>
        <i x="24" s="1"/>
        <i x="38" s="1"/>
        <i x="0" s="1"/>
        <i x="39" s="1"/>
        <i x="14" s="1"/>
        <i x="6" s="1"/>
        <i x="12" s="1"/>
        <i x="1" s="1"/>
        <i x="40" s="1"/>
        <i x="5" s="1"/>
        <i x="29" s="1"/>
        <i x="15" s="1"/>
        <i x="22" s="1"/>
        <i x="28" s="1"/>
        <i x="11" s="1"/>
        <i x="18" s="1"/>
        <i x="35" s="1"/>
        <i x="36" s="1"/>
        <i x="2" s="1"/>
        <i x="3" s="1"/>
        <i x="10" s="1"/>
        <i x="13" s="1"/>
        <i x="26" s="1"/>
        <i x="42" s="1"/>
        <i x="23" s="1"/>
        <i x="20" s="1"/>
        <i x="7" s="1"/>
        <i x="32" s="1"/>
        <i x="25" s="1"/>
        <i x="27" s="1"/>
        <i x="43" s="1"/>
        <i x="4" s="1"/>
        <i x="19" s="1"/>
        <i x="21" s="1"/>
        <i x="37" s="1"/>
        <i x="3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marks" xr10:uid="{597E8B4A-84BB-4E7E-8851-BCA2B5E7B6DA}" sourceName="Remarks">
  <pivotTables>
    <pivotTable tabId="3" name="PivotTable4"/>
  </pivotTables>
  <data>
    <tabular pivotCacheId="50484904">
      <items count="4">
        <i x="1" s="1"/>
        <i x="2" s="1"/>
        <i x="3"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VEHICLE_TYPE" xr10:uid="{77DB9913-5EF5-4AB5-8F62-7DF2FFD722F0}" sourceName="VEHICLE TYPE">
  <pivotTables>
    <pivotTable tabId="3" name="PivotTable4"/>
  </pivotTables>
  <data>
    <tabular pivotCacheId="50484904">
      <items count="12">
        <i x="2" s="1"/>
        <i x="4" s="1"/>
        <i x="11" s="1"/>
        <i x="1" s="1"/>
        <i x="9" s="1"/>
        <i x="3" s="1"/>
        <i x="8" s="1"/>
        <i x="0" s="1"/>
        <i x="7" s="1"/>
        <i x="6" s="1"/>
        <i x="5" s="1"/>
        <i x="1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VEHICLE_OWNER" xr10:uid="{F76B4F9F-A579-401D-9847-262C3DFB0959}" sourceName="VEHICLE OWNER">
  <pivotTables>
    <pivotTable tabId="3" name="PivotTable4"/>
  </pivotTables>
  <data>
    <tabular pivotCacheId="50484904">
      <items count="7">
        <i x="0" s="1"/>
        <i x="1" s="1"/>
        <i x="5" s="1"/>
        <i x="2" s="1"/>
        <i x="3" s="1"/>
        <i x="4" s="1"/>
        <i x="6"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ND_USER" xr10:uid="{B8DB12B1-C596-4051-97AC-77A218318BF0}" sourceName="END USER">
  <pivotTables>
    <pivotTable tabId="3" name="PivotTable4"/>
  </pivotTables>
  <data>
    <tabular pivotCacheId="50484904">
      <items count="26">
        <i x="14" s="1"/>
        <i x="1" s="1"/>
        <i x="13" s="1"/>
        <i x="18" s="1"/>
        <i x="16" s="1"/>
        <i x="0" s="1"/>
        <i x="17" s="1"/>
        <i x="23" s="1"/>
        <i x="24" s="1"/>
        <i x="21" s="1"/>
        <i x="4" s="1"/>
        <i x="6" s="1"/>
        <i x="25" s="1"/>
        <i x="22" s="1"/>
        <i x="12" s="1"/>
        <i x="2" s="1"/>
        <i x="15" s="1"/>
        <i x="20" s="1"/>
        <i x="10" s="1"/>
        <i x="9" s="1"/>
        <i x="8" s="1"/>
        <i x="3" s="1"/>
        <i x="11" s="1"/>
        <i x="5" s="1"/>
        <i x="7" s="1"/>
        <i x="19"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NT_TYPE" xr10:uid="{9CBDA620-4759-4C10-8AEB-59536C4D2D21}" sourceName="RENT TYPE">
  <pivotTables>
    <pivotTable tabId="3" name="PivotTable4"/>
  </pivotTables>
  <data>
    <tabular pivotCacheId="50484904">
      <items count="4">
        <i x="0" s="1"/>
        <i x="2" s="1"/>
        <i x="1" s="1"/>
        <i x="3" s="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otal_Km." xr10:uid="{A4C84CFD-54D5-4828-945C-2ECD12BFB6E8}" sourceName="Total Km.">
  <pivotTables>
    <pivotTable tabId="3" name="PivotTable4"/>
  </pivotTables>
  <data>
    <tabular pivotCacheId="50484904">
      <items count="40">
        <i x="23" s="1"/>
        <i x="17" s="1"/>
        <i x="1" s="1"/>
        <i x="18" s="1"/>
        <i x="5" s="1"/>
        <i x="4" s="1"/>
        <i x="16" s="1"/>
        <i x="25" s="1"/>
        <i x="33" s="1"/>
        <i x="38" s="1"/>
        <i x="21" s="1"/>
        <i x="15" s="1"/>
        <i x="32" s="1"/>
        <i x="10" s="1"/>
        <i x="3" s="1"/>
        <i x="14" s="1"/>
        <i x="31" s="1"/>
        <i x="8" s="1"/>
        <i x="11" s="1"/>
        <i x="29" s="1"/>
        <i x="24" s="1"/>
        <i x="34" s="1"/>
        <i x="2" s="1"/>
        <i x="37" s="1"/>
        <i x="30" s="1"/>
        <i x="6" s="1"/>
        <i x="13" s="1"/>
        <i x="28" s="1"/>
        <i x="7" s="1"/>
        <i x="9" s="1"/>
        <i x="35" s="1"/>
        <i x="12" s="1"/>
        <i x="27" s="1"/>
        <i x="19" s="1"/>
        <i x="0" s="1"/>
        <i x="22" s="1"/>
        <i x="20" s="1"/>
        <i x="36" s="1"/>
        <i x="26" s="1"/>
        <i x="39" s="1" nd="1"/>
      </items>
    </tabular>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ILEAGE_IN_KM." xr10:uid="{6AEAE7F3-6627-48C6-9187-5DE29D5AFF5A}" sourceName="MILEAGE IN KM.">
  <pivotTables>
    <pivotTable tabId="3" name="PivotTable4"/>
  </pivotTables>
  <data>
    <tabular pivotCacheId="50484904">
      <items count="40">
        <i x="23" s="1"/>
        <i x="31" s="1"/>
        <i x="1" s="1"/>
        <i x="28" s="1"/>
        <i x="35" s="1"/>
        <i x="32" s="1"/>
        <i x="2" s="1"/>
        <i x="39" s="1"/>
        <i x="25" s="1"/>
        <i x="18" s="1"/>
        <i x="24" s="1"/>
        <i x="38" s="1"/>
        <i x="30" s="1"/>
        <i x="4" s="1"/>
        <i x="15" s="1"/>
        <i x="29" s="1"/>
        <i x="26" s="1"/>
        <i x="36" s="1"/>
        <i x="16" s="1"/>
        <i x="22" s="1"/>
        <i x="6" s="1"/>
        <i x="9" s="1"/>
        <i x="12" s="1"/>
        <i x="10" s="1"/>
        <i x="5" s="1"/>
        <i x="3" s="1"/>
        <i x="11" s="1"/>
        <i x="37" s="1"/>
        <i x="7" s="1"/>
        <i x="20" s="1"/>
        <i x="19" s="1"/>
        <i x="14" s="1"/>
        <i x="13" s="1"/>
        <i x="27" s="1"/>
        <i x="0" s="1"/>
        <i x="34" s="1"/>
        <i x="8" s="1"/>
        <i x="33" s="1"/>
        <i x="21" s="1"/>
        <i x="17" s="1"/>
      </items>
    </tabular>
  </data>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OTAL_EXPENSE" xr10:uid="{90A3ED2D-C85B-4407-8219-A5CF056F2ACA}" sourceName="TOTAL EXPENSE">
  <pivotTables>
    <pivotTable tabId="3" name="PivotTable4"/>
  </pivotTables>
  <data>
    <tabular pivotCacheId="50484904">
      <items count="44">
        <i x="23" s="1"/>
        <i x="43" s="1"/>
        <i x="39" s="1"/>
        <i x="40" s="1"/>
        <i x="38" s="1"/>
        <i x="37" s="1"/>
        <i x="33" s="1"/>
        <i x="1" s="1"/>
        <i x="8" s="1"/>
        <i x="32" s="1"/>
        <i x="6" s="1"/>
        <i x="30" s="1"/>
        <i x="29" s="1"/>
        <i x="36" s="1"/>
        <i x="31" s="1"/>
        <i x="13" s="1"/>
        <i x="35" s="1"/>
        <i x="42" s="1"/>
        <i x="3" s="1"/>
        <i x="16" s="1"/>
        <i x="15" s="1"/>
        <i x="28" s="1"/>
        <i x="14" s="1"/>
        <i x="25" s="1"/>
        <i x="17" s="1"/>
        <i x="18" s="1"/>
        <i x="4" s="1"/>
        <i x="5" s="1"/>
        <i x="21" s="1"/>
        <i x="22" s="1"/>
        <i x="10" s="1"/>
        <i x="9" s="1"/>
        <i x="11" s="1"/>
        <i x="20" s="1"/>
        <i x="34" s="1"/>
        <i x="27" s="1"/>
        <i x="2" s="1"/>
        <i x="7" s="1"/>
        <i x="24" s="1"/>
        <i x="12" s="1"/>
        <i x="0" s="1"/>
        <i x="19" s="1"/>
        <i x="41" s="1"/>
        <i x="26" s="1"/>
      </items>
    </tabular>
  </data>
</slicerCacheDefinition>
</file>

<file path=xl/slicerCaches/slicerCache1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KI_INVOICE_AMT." xr10:uid="{34C0D4B9-A4AE-44C8-B79A-12D087D3A63F}" sourceName="HKI INVOICE AMT.">
  <pivotTables>
    <pivotTable tabId="3" name="PivotTable4"/>
  </pivotTables>
  <data>
    <tabular pivotCacheId="50484904">
      <items count="44">
        <i x="33" s="1"/>
        <i x="39" s="1"/>
        <i x="32" s="1"/>
        <i x="37" s="1"/>
        <i x="40" s="1"/>
        <i x="38" s="1"/>
        <i x="30" s="1"/>
        <i x="6" s="1"/>
        <i x="31" s="1"/>
        <i x="1" s="1"/>
        <i x="3" s="1"/>
        <i x="8" s="1"/>
        <i x="43" s="1"/>
        <i x="16" s="1"/>
        <i x="17" s="1"/>
        <i x="9" s="1"/>
        <i x="15" s="1"/>
        <i x="22" s="1"/>
        <i x="14" s="1"/>
        <i x="25" s="1"/>
        <i x="23" s="1"/>
        <i x="4" s="1"/>
        <i x="13" s="1"/>
        <i x="10" s="1"/>
        <i x="0" s="1"/>
        <i x="21" s="1"/>
        <i x="18" s="1"/>
        <i x="5" s="1"/>
        <i x="35" s="1"/>
        <i x="20" s="1"/>
        <i x="34" s="1"/>
        <i x="2" s="1"/>
        <i x="7" s="1"/>
        <i x="42" s="1"/>
        <i x="11" s="1"/>
        <i x="12" s="1"/>
        <i x="19" s="1"/>
        <i x="29" s="1"/>
        <i x="24" s="1"/>
        <i x="36" s="1"/>
        <i x="28" s="1"/>
        <i x="27" s="1"/>
        <i x="41" s="1"/>
        <i x="26" s="1"/>
      </items>
    </tabular>
  </data>
</slicerCacheDefinition>
</file>

<file path=xl/slicerCaches/slicerCache1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ET_PROFIT_AMT." xr10:uid="{BF477445-B366-40EA-B225-81275DB1F0F9}" sourceName="NET PROFIT AMT.">
  <pivotTables>
    <pivotTable tabId="3" name="PivotTable4"/>
  </pivotTables>
  <data>
    <tabular pivotCacheId="50484904">
      <items count="40">
        <i x="21" s="1"/>
        <i x="35" s="1"/>
        <i x="33" s="1"/>
        <i x="16" s="1"/>
        <i x="3" s="1"/>
        <i x="6" s="1"/>
        <i x="15" s="1"/>
        <i x="34" s="1"/>
        <i x="13" s="1"/>
        <i x="36" s="1"/>
        <i x="14" s="1"/>
        <i x="29" s="1"/>
        <i x="9" s="1"/>
        <i x="19" s="1"/>
        <i x="4" s="1"/>
        <i x="30" s="1"/>
        <i x="24" s="1"/>
        <i x="2" s="1"/>
        <i x="20" s="1"/>
        <i x="25" s="1"/>
        <i x="18" s="1"/>
        <i x="5" s="1"/>
        <i x="7" s="1"/>
        <i x="17" s="1"/>
        <i x="11" s="1"/>
        <i x="8" s="1"/>
        <i x="1" s="1"/>
        <i x="10" s="1"/>
        <i x="12" s="1"/>
        <i x="23" s="1"/>
        <i x="31" s="1"/>
        <i x="39" s="1"/>
        <i x="37" s="1"/>
        <i x="38" s="1"/>
        <i x="22" s="1"/>
        <i x="26" s="1"/>
        <i x="28" s="1"/>
        <i x="27" s="1"/>
        <i x="32" s="1"/>
        <i x="0" s="1"/>
      </items>
    </tabular>
  </data>
</slicerCacheDefinition>
</file>

<file path=xl/slicerCaches/slicerCache1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ET_LOSS_AMT" xr10:uid="{A302375A-CE4E-43F1-B51D-524BDE72E7AC}" sourceName="NET LOSS AMT">
  <pivotTables>
    <pivotTable tabId="3" name="PivotTable4"/>
  </pivotTables>
  <data>
    <tabular pivotCacheId="50484904">
      <items count="6">
        <i x="5" s="1"/>
        <i x="4" s="1"/>
        <i x="0" s="1"/>
        <i x="2" s="1"/>
        <i x="3"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VEHICLE NUMBER" xr10:uid="{0538E6F8-C5EC-486D-B954-D711A119464B}" cache="Slicer_VEHICLE_NUMBER" caption="VEHICLE NUMBER" columnCount="3" style="SlicerStyleLight4" rowHeight="247650"/>
  <slicer name="DRIVER NAME" xr10:uid="{FED3E64E-BF73-4BC7-81B0-5D46B484D217}" cache="Slicer_DRIVER_NAME" caption="DRIVER NAME" showCaption="0" style="SlicerStyleLight4" rowHeight="247650"/>
  <slicer name="Remarks" xr10:uid="{A609F663-A3BE-412B-A4C9-BD7D73CED15E}" cache="Slicer_Remarks" caption="Remarks" style="SlicerStyleLight4" rowHeight="247650"/>
  <slicer name="VEHICLE TYPE" xr10:uid="{355B4FBA-AD5F-4EE6-BA9C-72163C81360F}" cache="Slicer_VEHICLE_TYPE" caption="VEHICLE TYPE" style="SlicerStyleLight4" rowHeight="247650"/>
  <slicer name="VEHICLE OWNER" xr10:uid="{F4A8B2AC-77AC-4F71-B93C-7C7B94EFE579}" cache="Slicer_VEHICLE_OWNER" caption="VEHICLE OWNER" style="SlicerStyleLight4" rowHeight="247650"/>
  <slicer name="END USER" xr10:uid="{36273BC2-B342-4014-A2D8-69DA447048A9}" cache="Slicer_END_USER" caption="END USER" style="SlicerStyleLight4" rowHeight="247650"/>
  <slicer name="RENT TYPE" xr10:uid="{A6ACCCA9-DEA3-4887-9984-8B5811B75C0B}" cache="Slicer_RENT_TYPE" caption="RENT TYPE" style="SlicerStyleLight4" rowHeight="247650"/>
  <slicer name="Total Km." xr10:uid="{21DC4571-20DD-42F3-B38C-B2EA7DA75F1F}" cache="Slicer_Total_Km." caption="Total Km." style="SlicerStyleLight4" rowHeight="247650"/>
  <slicer name="MILEAGE IN KM." xr10:uid="{34E40CBC-7A78-401B-A457-E971B4B28351}" cache="Slicer_MILEAGE_IN_KM." caption="MILEAGE IN KM." style="SlicerStyleLight4" rowHeight="247650"/>
  <slicer name="TOTAL EXPENSE" xr10:uid="{897F41AB-54C9-41AA-A99A-DF6D050DB061}" cache="Slicer_TOTAL_EXPENSE" caption="TOTAL EXPENSE" style="SlicerStyleLight4" rowHeight="247650"/>
  <slicer name="HKI INVOICE AMT." xr10:uid="{25BB60C7-A692-4E7F-B40B-A5CD83C38414}" cache="Slicer_HKI_INVOICE_AMT." caption="HKI INVOICE AMT." style="SlicerStyleLight4" rowHeight="247650"/>
  <slicer name="NET PROFIT AMT." xr10:uid="{10FBA22D-D685-41B1-802F-1CA5DF9E73B2}" cache="Slicer_NET_PROFIT_AMT." caption="NET PROFIT AMT." style="SlicerStyleLight4" rowHeight="247650"/>
  <slicer name="NET LOSS AMT" xr10:uid="{9CFA6B49-EC2B-4F74-AE5B-20300F40D818}" cache="Slicer_NET_LOSS_AMT" caption="NET LOSS AMT" style="SlicerStyleLight4"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8827869-06F6-45A8-A80D-493E803A0B23}" name="Table1" displayName="Table1" ref="A1:Y46" totalsRowCount="1" headerRowDxfId="54" headerRowBorderDxfId="53" tableBorderDxfId="52" totalsRowBorderDxfId="51">
  <autoFilter ref="A1:Y45" xr:uid="{08827869-06F6-45A8-A80D-493E803A0B23}"/>
  <tableColumns count="25">
    <tableColumn id="1" xr3:uid="{C74F5CF0-3B2B-4822-B882-F3BE78388065}" name="S. No." dataDxfId="50" totalsRowDxfId="49"/>
    <tableColumn id="2" xr3:uid="{2EFAB222-14EA-4FB2-B0F7-9253904B9E9D}" name="CAB SHORT NO." dataDxfId="48" totalsRowDxfId="47"/>
    <tableColumn id="3" xr3:uid="{11E14917-7B88-4D0C-9277-2BE7A51EE004}" name="VEHICLE NUMBER" dataDxfId="46" totalsRowDxfId="45"/>
    <tableColumn id="4" xr3:uid="{20E0ED1B-D68E-49BC-97C4-23D0EBC35759}" name="VEHICLE TYPE" dataDxfId="44" totalsRowDxfId="43"/>
    <tableColumn id="5" xr3:uid="{7F4EDCA8-338F-430F-BAFD-7BE595DD7C13}" name="MODEL YEAR" dataDxfId="42" totalsRowDxfId="41"/>
    <tableColumn id="6" xr3:uid="{B58CC273-69C7-41E0-979A-78FF4D0CDBA0}" name="VEHICLE OWNER" dataDxfId="40" totalsRowDxfId="39"/>
    <tableColumn id="7" xr3:uid="{2BA08B87-9B5E-4C59-B01F-9132D797E72B}" name="DRIVER NAME" dataDxfId="38" totalsRowDxfId="37"/>
    <tableColumn id="8" xr3:uid="{85A57B34-AC5C-47C4-8CA4-33DA28E079A2}" name="EMP CODE" dataDxfId="36" totalsRowDxfId="35"/>
    <tableColumn id="9" xr3:uid="{6C9A7026-AF7A-49BF-89E6-24FBB510E309}" name="END USER" dataDxfId="34" totalsRowDxfId="33"/>
    <tableColumn id="10" xr3:uid="{936451F8-F06E-4FCA-9921-EA28002DE125}" name="RENT TYPE" dataDxfId="32" totalsRowDxfId="31"/>
    <tableColumn id="20" xr3:uid="{A2D1FB92-A87D-4769-8FA3-112B48CDA4C7}" name="Start Km" dataDxfId="30" totalsRowDxfId="29">
      <calculatedColumnFormula>VLOOKUP(Table1[[#This Row],[CAB SHORT NO.]],'[1]JULY 26'!$C$4:$N$47,4,0)</calculatedColumnFormula>
    </tableColumn>
    <tableColumn id="19" xr3:uid="{0D37D03F-8D40-4121-9A8C-AC9DB766EC03}" name="End Km" dataDxfId="28" totalsRowDxfId="27">
      <calculatedColumnFormula>VLOOKUP(Table1[[#This Row],[CAB SHORT NO.]],'[1]JULY 26'!$C$4:$N$47,5,0)</calculatedColumnFormula>
    </tableColumn>
    <tableColumn id="11" xr3:uid="{3AAEA37F-1918-463E-9E90-3D78EF07FC91}" name="Total Km." dataDxfId="26" totalsRowDxfId="25">
      <calculatedColumnFormula>Table1[[#This Row],[End Km]]-Table1[[#This Row],[Start Km]]</calculatedColumnFormula>
    </tableColumn>
    <tableColumn id="12" xr3:uid="{C05F689E-766B-41F9-9FAB-3A469BF9E7A8}" name="MILEAGE IN KM." dataDxfId="24" totalsRowDxfId="23">
      <calculatedColumnFormula>VLOOKUP(Table1[[#This Row],[CAB SHORT NO.]],'[1]JULY 26'!$C$4:$N$47,12,0)</calculatedColumnFormula>
    </tableColumn>
    <tableColumn id="13" xr3:uid="{495D0E2A-E655-47D6-AD02-EF2F557FA52D}" name="FUEL EXPENSE" totalsRowFunction="sum" dataDxfId="22" totalsRowDxfId="21">
      <calculatedColumnFormula>VLOOKUP(Table1[[#This Row],[CAB SHORT NO.]],'[1]JULY 26'!$C$4:$N$47,10,0)</calculatedColumnFormula>
    </tableColumn>
    <tableColumn id="14" xr3:uid="{74BF8082-B418-469E-9B17-820B31F8090D}" name="VEHICLE MAINTENANCE" totalsRowFunction="sum" dataDxfId="20" totalsRowDxfId="19"/>
    <tableColumn id="15" xr3:uid="{D158F3BF-B144-4698-A225-AE3AD582EA09}" name="STATE TAX" totalsRowFunction="sum" dataDxfId="18" totalsRowDxfId="17">
      <calculatedColumnFormula>VLOOKUP(Table1[[#This Row],[VEHICLE NUMBER]],'[2]Border Tax and Fast Tag'!$B$4:$D$157,2,0)</calculatedColumnFormula>
    </tableColumn>
    <tableColumn id="16" xr3:uid="{BC65FC74-FB93-43FD-9982-A33C648D17B2}" name="FAST TAG/MCD/PARKING" totalsRowFunction="sum" dataDxfId="16" totalsRowDxfId="15">
      <calculatedColumnFormula>VLOOKUP(Table1[[#This Row],[VEHICLE NUMBER]],'[2]Border Tax and Fast Tag'!$B$4:$D$157,3,0)</calculatedColumnFormula>
    </tableColumn>
    <tableColumn id="17" xr3:uid="{2C5AB51D-27FD-4643-894B-A7BF88511B77}" name="RENT &amp; DEPRECIATION" totalsRowFunction="sum" dataDxfId="14" totalsRowDxfId="13">
      <calculatedColumnFormula>VLOOKUP(Table1[[#This Row],[VEHICLE NUMBER]],'[2]Cab Rent'!$B$3:$C$156,2,0)</calculatedColumnFormula>
    </tableColumn>
    <tableColumn id="18" xr3:uid="{75E81E6B-D2A6-4BBE-9C70-BC2060A2FB60}" name="CTC (Driver Salary/Cost)" totalsRowFunction="sum" dataDxfId="12" totalsRowDxfId="11">
      <calculatedColumnFormula>VLOOKUP(Table1[[#This Row],[EMP CODE]],[3]CTC!$D$8:$CM$56,88,0)</calculatedColumnFormula>
    </tableColumn>
    <tableColumn id="21" xr3:uid="{A0CCDF83-3AD9-4F1A-868E-9FEF5E2F2E52}" name="TOTAL EXPENSE" totalsRowFunction="sum" dataDxfId="10" totalsRowDxfId="9">
      <calculatedColumnFormula>Table1[[#This Row],[FUEL EXPENSE]]+Table1[[#This Row],[VEHICLE MAINTENANCE]]+Table1[[#This Row],[STATE TAX]]+Table1[[#This Row],[FAST TAG/MCD/PARKING]]+Table1[[#This Row],[RENT &amp; DEPRECIATION]]+Table1[[#This Row],[CTC (Driver Salary/Cost)]]</calculatedColumnFormula>
    </tableColumn>
    <tableColumn id="22" xr3:uid="{D3F1E95F-84B9-4127-9D86-88FD8686B342}" name="HKI INVOICE AMT." totalsRowFunction="sum" dataDxfId="8" totalsRowDxfId="7">
      <calculatedColumnFormula>VLOOKUP(Table1[[#This Row],[VEHICLE NUMBER]],'[2]Gross Invoice Amt'!$B$3:$C$161,2,0)</calculatedColumnFormula>
    </tableColumn>
    <tableColumn id="23" xr3:uid="{87F89957-EF7B-4B71-B475-90A382DF8CBE}" name="NET PROFIT AMT." totalsRowFunction="custom" dataDxfId="6" totalsRowDxfId="5">
      <calculatedColumnFormula>Table1[[#This Row],[HKI INVOICE AMT.]]-Table1[[#This Row],[TOTAL EXPENSE]]</calculatedColumnFormula>
      <totalsRowFormula>SUM(W2:W45)</totalsRowFormula>
    </tableColumn>
    <tableColumn id="24" xr3:uid="{2F91B226-8725-41DC-828B-A7FD1B84748E}" name="NET LOSS AMT" totalsRowFunction="custom" dataDxfId="4" totalsRowDxfId="3">
      <totalsRowFormula>SUM(X2:X45)</totalsRowFormula>
    </tableColumn>
    <tableColumn id="25" xr3:uid="{5510E105-B1FE-498F-B16F-B350988D3B92}" name="Remarks" dataDxfId="2" totalsRowDxfId="1"/>
  </tableColumns>
  <tableStyleInfo name="TableStyleMedium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57DCA2-C9CE-41CC-A4DB-0E4FE576E4C1}">
  <dimension ref="A1:C46"/>
  <sheetViews>
    <sheetView workbookViewId="0">
      <selection sqref="A1:C46"/>
    </sheetView>
  </sheetViews>
  <sheetFormatPr defaultRowHeight="14.4"/>
  <cols>
    <col min="1" max="1" width="15.88671875" bestFit="1" customWidth="1"/>
    <col min="2" max="2" width="14.44140625" bestFit="1" customWidth="1"/>
    <col min="3" max="3" width="13.44140625" bestFit="1" customWidth="1"/>
  </cols>
  <sheetData>
    <row r="1" spans="1:3">
      <c r="A1" s="36" t="s">
        <v>253</v>
      </c>
      <c r="B1" t="s">
        <v>245</v>
      </c>
      <c r="C1" t="s">
        <v>246</v>
      </c>
    </row>
    <row r="2" spans="1:3">
      <c r="A2" s="37" t="s">
        <v>51</v>
      </c>
      <c r="B2" s="38">
        <v>16305.569999999992</v>
      </c>
      <c r="C2" s="38"/>
    </row>
    <row r="3" spans="1:3">
      <c r="A3" s="37" t="s">
        <v>137</v>
      </c>
      <c r="B3" s="38">
        <v>21788.73000000001</v>
      </c>
      <c r="C3" s="38"/>
    </row>
    <row r="4" spans="1:3">
      <c r="A4" s="37" t="s">
        <v>104</v>
      </c>
      <c r="B4" s="38">
        <v>11627.783333333326</v>
      </c>
      <c r="C4" s="38"/>
    </row>
    <row r="5" spans="1:3">
      <c r="A5" s="37" t="s">
        <v>45</v>
      </c>
      <c r="B5" s="38">
        <v>7329.5552000000025</v>
      </c>
      <c r="C5" s="38"/>
    </row>
    <row r="6" spans="1:3">
      <c r="A6" s="37" t="s">
        <v>221</v>
      </c>
      <c r="B6" s="38">
        <v>76965.236666666693</v>
      </c>
      <c r="C6" s="38"/>
    </row>
    <row r="7" spans="1:3">
      <c r="A7" s="37" t="s">
        <v>158</v>
      </c>
      <c r="B7" s="38">
        <v>16585.740000000005</v>
      </c>
      <c r="C7" s="38"/>
    </row>
    <row r="8" spans="1:3">
      <c r="A8" s="37" t="s">
        <v>233</v>
      </c>
      <c r="B8" s="38">
        <v>67855.610799999995</v>
      </c>
      <c r="C8" s="38"/>
    </row>
    <row r="9" spans="1:3">
      <c r="A9" s="37" t="s">
        <v>184</v>
      </c>
      <c r="B9" s="38">
        <v>13748.226666666669</v>
      </c>
      <c r="C9" s="38"/>
    </row>
    <row r="10" spans="1:3">
      <c r="A10" s="37" t="s">
        <v>62</v>
      </c>
      <c r="B10" s="38">
        <v>7431.9799999999959</v>
      </c>
      <c r="C10" s="38"/>
    </row>
    <row r="11" spans="1:3">
      <c r="A11" s="37" t="s">
        <v>192</v>
      </c>
      <c r="B11" s="38"/>
      <c r="C11" s="38">
        <v>-32712.592799999999</v>
      </c>
    </row>
    <row r="12" spans="1:3">
      <c r="A12" s="37" t="s">
        <v>153</v>
      </c>
      <c r="B12" s="38">
        <v>120097.80999999998</v>
      </c>
      <c r="C12" s="38"/>
    </row>
    <row r="13" spans="1:3">
      <c r="A13" s="37" t="s">
        <v>109</v>
      </c>
      <c r="B13" s="38">
        <v>13170.886666666673</v>
      </c>
      <c r="C13" s="38"/>
    </row>
    <row r="14" spans="1:3">
      <c r="A14" s="37" t="s">
        <v>26</v>
      </c>
      <c r="B14" s="38"/>
      <c r="C14" s="38">
        <v>-13536.389999999985</v>
      </c>
    </row>
    <row r="15" spans="1:3">
      <c r="A15" s="37" t="s">
        <v>96</v>
      </c>
      <c r="B15" s="38">
        <v>32024.78</v>
      </c>
      <c r="C15" s="38"/>
    </row>
    <row r="16" spans="1:3">
      <c r="A16" s="37" t="s">
        <v>197</v>
      </c>
      <c r="B16" s="38">
        <v>16554.700000000012</v>
      </c>
      <c r="C16" s="38"/>
    </row>
    <row r="17" spans="1:3">
      <c r="A17" s="37" t="s">
        <v>204</v>
      </c>
      <c r="B17" s="38">
        <v>55313.200000000012</v>
      </c>
      <c r="C17" s="38"/>
    </row>
    <row r="18" spans="1:3">
      <c r="A18" s="37" t="s">
        <v>90</v>
      </c>
      <c r="B18" s="38">
        <v>41331.699999999997</v>
      </c>
      <c r="C18" s="38"/>
    </row>
    <row r="19" spans="1:3">
      <c r="A19" s="37" t="s">
        <v>123</v>
      </c>
      <c r="B19" s="38">
        <v>29639.283333333326</v>
      </c>
      <c r="C19" s="38"/>
    </row>
    <row r="20" spans="1:3">
      <c r="A20" s="37" t="s">
        <v>85</v>
      </c>
      <c r="B20" s="38">
        <v>15756.199999999997</v>
      </c>
      <c r="C20" s="38"/>
    </row>
    <row r="21" spans="1:3">
      <c r="A21" s="37" t="s">
        <v>113</v>
      </c>
      <c r="B21" s="38">
        <v>10816.25</v>
      </c>
      <c r="C21" s="38"/>
    </row>
    <row r="22" spans="1:3">
      <c r="A22" s="37" t="s">
        <v>118</v>
      </c>
      <c r="B22" s="38">
        <v>7272.6999999999971</v>
      </c>
      <c r="C22" s="38"/>
    </row>
    <row r="23" spans="1:3">
      <c r="A23" s="37" t="s">
        <v>127</v>
      </c>
      <c r="B23" s="38">
        <v>23582.329999999987</v>
      </c>
      <c r="C23" s="38"/>
    </row>
    <row r="24" spans="1:3">
      <c r="A24" s="37" t="s">
        <v>142</v>
      </c>
      <c r="B24" s="38">
        <v>1029.8999999999942</v>
      </c>
      <c r="C24" s="38"/>
    </row>
    <row r="25" spans="1:3">
      <c r="A25" s="37" t="s">
        <v>132</v>
      </c>
      <c r="B25" s="38">
        <v>15762.370000000024</v>
      </c>
      <c r="C25" s="38"/>
    </row>
    <row r="26" spans="1:3">
      <c r="A26" s="37" t="s">
        <v>201</v>
      </c>
      <c r="B26" s="38">
        <v>55932.206666666636</v>
      </c>
      <c r="C26" s="38"/>
    </row>
    <row r="27" spans="1:3">
      <c r="A27" s="37" t="s">
        <v>188</v>
      </c>
      <c r="B27" s="38"/>
      <c r="C27" s="38">
        <v>-22564.873333333337</v>
      </c>
    </row>
    <row r="28" spans="1:3">
      <c r="A28" s="37" t="s">
        <v>171</v>
      </c>
      <c r="B28" s="38">
        <v>118845.50333333333</v>
      </c>
      <c r="C28" s="38"/>
    </row>
    <row r="29" spans="1:3">
      <c r="A29" s="37" t="s">
        <v>176</v>
      </c>
      <c r="B29" s="38">
        <v>114471.29333333333</v>
      </c>
      <c r="C29" s="38"/>
    </row>
    <row r="30" spans="1:3">
      <c r="A30" s="37" t="s">
        <v>225</v>
      </c>
      <c r="B30" s="38">
        <v>78518.723333333328</v>
      </c>
      <c r="C30" s="38"/>
    </row>
    <row r="31" spans="1:3">
      <c r="A31" s="37" t="s">
        <v>180</v>
      </c>
      <c r="B31" s="38"/>
      <c r="C31" s="38">
        <v>-3001.5500000000029</v>
      </c>
    </row>
    <row r="32" spans="1:3">
      <c r="A32" s="37" t="s">
        <v>34</v>
      </c>
      <c r="B32" s="38">
        <v>35610.5</v>
      </c>
      <c r="C32" s="38"/>
    </row>
    <row r="33" spans="1:3">
      <c r="A33" s="37" t="s">
        <v>163</v>
      </c>
      <c r="B33" s="38">
        <v>22224</v>
      </c>
      <c r="C33" s="38"/>
    </row>
    <row r="34" spans="1:3">
      <c r="A34" s="37" t="s">
        <v>68</v>
      </c>
      <c r="B34" s="38">
        <v>27397.950000000012</v>
      </c>
      <c r="C34" s="38"/>
    </row>
    <row r="35" spans="1:3">
      <c r="A35" s="37" t="s">
        <v>74</v>
      </c>
      <c r="B35" s="38">
        <v>33890.542799999996</v>
      </c>
      <c r="C35" s="38"/>
    </row>
    <row r="36" spans="1:3">
      <c r="A36" s="37" t="s">
        <v>100</v>
      </c>
      <c r="B36" s="38">
        <v>44367.156666666662</v>
      </c>
      <c r="C36" s="38"/>
    </row>
    <row r="37" spans="1:3">
      <c r="A37" s="37" t="s">
        <v>57</v>
      </c>
      <c r="B37" s="38">
        <v>24795.643333333312</v>
      </c>
      <c r="C37" s="38"/>
    </row>
    <row r="38" spans="1:3">
      <c r="A38" s="37" t="s">
        <v>40</v>
      </c>
      <c r="B38" s="38">
        <v>20305.616666666669</v>
      </c>
      <c r="C38" s="38"/>
    </row>
    <row r="39" spans="1:3">
      <c r="A39" s="37" t="s">
        <v>167</v>
      </c>
      <c r="B39" s="38">
        <v>85991.273333333316</v>
      </c>
      <c r="C39" s="38"/>
    </row>
    <row r="40" spans="1:3">
      <c r="A40" s="37" t="s">
        <v>80</v>
      </c>
      <c r="B40" s="38"/>
      <c r="C40" s="38">
        <v>-9559.9566666666651</v>
      </c>
    </row>
    <row r="41" spans="1:3">
      <c r="A41" s="37" t="s">
        <v>208</v>
      </c>
      <c r="B41" s="38">
        <v>6944.0808666666635</v>
      </c>
      <c r="C41" s="38"/>
    </row>
    <row r="42" spans="1:3">
      <c r="A42" s="37" t="s">
        <v>211</v>
      </c>
      <c r="B42" s="38">
        <v>11038.766666666663</v>
      </c>
      <c r="C42" s="38"/>
    </row>
    <row r="43" spans="1:3">
      <c r="A43" s="37" t="s">
        <v>214</v>
      </c>
      <c r="B43" s="38">
        <v>4918.6999999999971</v>
      </c>
      <c r="C43" s="38"/>
    </row>
    <row r="44" spans="1:3">
      <c r="A44" s="37" t="s">
        <v>217</v>
      </c>
      <c r="B44" s="38">
        <v>12425.449999999997</v>
      </c>
      <c r="C44" s="38"/>
    </row>
    <row r="45" spans="1:3">
      <c r="A45" s="37" t="s">
        <v>147</v>
      </c>
      <c r="B45" s="38">
        <v>83846.03</v>
      </c>
      <c r="C45" s="38"/>
    </row>
    <row r="46" spans="1:3">
      <c r="A46" s="37" t="s">
        <v>244</v>
      </c>
      <c r="B46" s="38">
        <v>1403513.9796666666</v>
      </c>
      <c r="C46" s="38">
        <v>-81375.362799999988</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8308A4-6C7D-44C4-A799-071716C5D25B}">
  <dimension ref="A3:G48"/>
  <sheetViews>
    <sheetView topLeftCell="C1" workbookViewId="0">
      <selection activeCell="E4" sqref="E4"/>
    </sheetView>
  </sheetViews>
  <sheetFormatPr defaultRowHeight="14.4"/>
  <cols>
    <col min="1" max="1" width="15.88671875" bestFit="1" customWidth="1"/>
    <col min="2" max="2" width="13.77734375" bestFit="1" customWidth="1"/>
    <col min="3" max="3" width="21.6640625" bestFit="1" customWidth="1"/>
    <col min="4" max="4" width="10" bestFit="1" customWidth="1"/>
    <col min="5" max="5" width="22.5546875" bestFit="1" customWidth="1"/>
    <col min="6" max="6" width="20.44140625" bestFit="1" customWidth="1"/>
    <col min="7" max="7" width="21.88671875" bestFit="1" customWidth="1"/>
  </cols>
  <sheetData>
    <row r="3" spans="1:7">
      <c r="A3" s="36" t="s">
        <v>253</v>
      </c>
      <c r="B3" t="s">
        <v>247</v>
      </c>
      <c r="C3" t="s">
        <v>248</v>
      </c>
      <c r="D3" t="s">
        <v>249</v>
      </c>
      <c r="E3" t="s">
        <v>250</v>
      </c>
      <c r="F3" t="s">
        <v>251</v>
      </c>
      <c r="G3" t="s">
        <v>252</v>
      </c>
    </row>
    <row r="4" spans="1:7">
      <c r="A4" s="37" t="s">
        <v>51</v>
      </c>
      <c r="B4" s="38">
        <v>12150.46</v>
      </c>
      <c r="C4" s="38"/>
      <c r="D4" s="38">
        <v>0</v>
      </c>
      <c r="E4" s="38">
        <v>1050</v>
      </c>
      <c r="F4" s="38">
        <v>45035</v>
      </c>
      <c r="G4" s="38">
        <v>47792.3</v>
      </c>
    </row>
    <row r="5" spans="1:7">
      <c r="A5" s="37" t="s">
        <v>137</v>
      </c>
      <c r="B5" s="38">
        <v>11532.64</v>
      </c>
      <c r="C5" s="38">
        <v>140</v>
      </c>
      <c r="D5" s="38">
        <v>0</v>
      </c>
      <c r="E5" s="38">
        <v>4175</v>
      </c>
      <c r="F5" s="38">
        <v>55000</v>
      </c>
      <c r="G5" s="38">
        <v>38714.300000000003</v>
      </c>
    </row>
    <row r="6" spans="1:7">
      <c r="A6" s="37" t="s">
        <v>104</v>
      </c>
      <c r="B6" s="38">
        <v>20079.150000000001</v>
      </c>
      <c r="C6" s="38"/>
      <c r="D6" s="38">
        <v>490</v>
      </c>
      <c r="E6" s="38">
        <v>5430</v>
      </c>
      <c r="F6" s="38">
        <v>35000</v>
      </c>
      <c r="G6" s="38">
        <v>38853.066666666666</v>
      </c>
    </row>
    <row r="7" spans="1:7">
      <c r="A7" s="37" t="s">
        <v>45</v>
      </c>
      <c r="B7" s="38">
        <v>20696.97</v>
      </c>
      <c r="C7" s="38">
        <v>60</v>
      </c>
      <c r="D7" s="38">
        <v>0</v>
      </c>
      <c r="E7" s="38">
        <v>4820</v>
      </c>
      <c r="F7" s="38">
        <v>21320</v>
      </c>
      <c r="G7" s="38">
        <v>42514.804799999998</v>
      </c>
    </row>
    <row r="8" spans="1:7">
      <c r="A8" s="37" t="s">
        <v>221</v>
      </c>
      <c r="B8" s="38">
        <v>39594.959999999999</v>
      </c>
      <c r="C8" s="38"/>
      <c r="D8" s="38">
        <v>671</v>
      </c>
      <c r="E8" s="38">
        <v>12911</v>
      </c>
      <c r="F8" s="38">
        <v>66428</v>
      </c>
      <c r="G8" s="38">
        <v>52260.133333333331</v>
      </c>
    </row>
    <row r="9" spans="1:7">
      <c r="A9" s="37" t="s">
        <v>158</v>
      </c>
      <c r="B9" s="38">
        <v>17298.96</v>
      </c>
      <c r="C9" s="38"/>
      <c r="D9" s="38">
        <v>360</v>
      </c>
      <c r="E9" s="38">
        <v>3580</v>
      </c>
      <c r="F9" s="38">
        <v>46546</v>
      </c>
      <c r="G9" s="38">
        <v>33394.300000000003</v>
      </c>
    </row>
    <row r="10" spans="1:7">
      <c r="A10" s="37" t="s">
        <v>233</v>
      </c>
      <c r="B10" s="38">
        <v>18946.48</v>
      </c>
      <c r="C10" s="38">
        <v>478</v>
      </c>
      <c r="D10" s="38">
        <v>1530</v>
      </c>
      <c r="E10" s="38">
        <v>3235</v>
      </c>
      <c r="F10" s="38">
        <v>0</v>
      </c>
      <c r="G10" s="38">
        <v>12160.9092</v>
      </c>
    </row>
    <row r="11" spans="1:7">
      <c r="A11" s="37" t="s">
        <v>184</v>
      </c>
      <c r="B11" s="38">
        <v>34597.919999999998</v>
      </c>
      <c r="C11" s="38">
        <v>90</v>
      </c>
      <c r="D11" s="38">
        <v>0</v>
      </c>
      <c r="E11" s="38">
        <v>2520</v>
      </c>
      <c r="F11" s="38">
        <v>0</v>
      </c>
      <c r="G11" s="38">
        <v>43399.683333333334</v>
      </c>
    </row>
    <row r="12" spans="1:7">
      <c r="A12" s="37" t="s">
        <v>62</v>
      </c>
      <c r="B12" s="38">
        <v>28419.72</v>
      </c>
      <c r="C12" s="38"/>
      <c r="D12" s="38">
        <v>448</v>
      </c>
      <c r="E12" s="38">
        <v>8135</v>
      </c>
      <c r="F12" s="38">
        <v>0</v>
      </c>
      <c r="G12" s="38">
        <v>35372.300000000003</v>
      </c>
    </row>
    <row r="13" spans="1:7">
      <c r="A13" s="37" t="s">
        <v>192</v>
      </c>
      <c r="B13" s="38">
        <v>12459.369999999999</v>
      </c>
      <c r="C13" s="38"/>
      <c r="D13" s="38">
        <v>0</v>
      </c>
      <c r="E13" s="38">
        <v>2389</v>
      </c>
      <c r="F13" s="38">
        <v>0</v>
      </c>
      <c r="G13" s="38">
        <v>35684.222799999996</v>
      </c>
    </row>
    <row r="14" spans="1:7">
      <c r="A14" s="37" t="s">
        <v>153</v>
      </c>
      <c r="B14" s="38">
        <v>29074.560000000001</v>
      </c>
      <c r="C14" s="38">
        <v>99</v>
      </c>
      <c r="D14" s="38">
        <v>0</v>
      </c>
      <c r="E14" s="38">
        <v>11122</v>
      </c>
      <c r="F14" s="38">
        <v>0</v>
      </c>
      <c r="G14" s="38">
        <v>39520.300000000003</v>
      </c>
    </row>
    <row r="15" spans="1:7">
      <c r="A15" s="37" t="s">
        <v>109</v>
      </c>
      <c r="B15" s="38">
        <v>18946.48</v>
      </c>
      <c r="C15" s="38">
        <v>130</v>
      </c>
      <c r="D15" s="38">
        <v>0</v>
      </c>
      <c r="E15" s="38">
        <v>4305</v>
      </c>
      <c r="F15" s="38">
        <v>35000</v>
      </c>
      <c r="G15" s="38">
        <v>39352.633333333331</v>
      </c>
    </row>
    <row r="16" spans="1:7">
      <c r="A16" s="37" t="s">
        <v>26</v>
      </c>
      <c r="B16" s="38">
        <v>30582.09</v>
      </c>
      <c r="C16" s="38"/>
      <c r="D16" s="38">
        <v>6917</v>
      </c>
      <c r="E16" s="38">
        <v>7055</v>
      </c>
      <c r="F16" s="38">
        <v>67960</v>
      </c>
      <c r="G16" s="38">
        <v>31804.3</v>
      </c>
    </row>
    <row r="17" spans="1:7">
      <c r="A17" s="37" t="s">
        <v>96</v>
      </c>
      <c r="B17" s="38">
        <v>29830</v>
      </c>
      <c r="C17" s="38"/>
      <c r="D17" s="38">
        <v>2016</v>
      </c>
      <c r="E17" s="38">
        <v>8310</v>
      </c>
      <c r="F17" s="38">
        <v>59540</v>
      </c>
      <c r="G17" s="38">
        <v>39888.550000000003</v>
      </c>
    </row>
    <row r="18" spans="1:7">
      <c r="A18" s="37" t="s">
        <v>197</v>
      </c>
      <c r="B18" s="38">
        <v>17765</v>
      </c>
      <c r="C18" s="38"/>
      <c r="D18" s="38">
        <v>0</v>
      </c>
      <c r="E18" s="38">
        <v>10040</v>
      </c>
      <c r="F18" s="38">
        <v>53000</v>
      </c>
      <c r="G18" s="38">
        <v>54757.8</v>
      </c>
    </row>
    <row r="19" spans="1:7">
      <c r="A19" s="37" t="s">
        <v>204</v>
      </c>
      <c r="B19" s="38">
        <v>25175</v>
      </c>
      <c r="C19" s="38">
        <v>510</v>
      </c>
      <c r="D19" s="38">
        <v>10265</v>
      </c>
      <c r="E19" s="38">
        <v>2625</v>
      </c>
      <c r="F19" s="38">
        <v>51395</v>
      </c>
      <c r="G19" s="38">
        <v>48686.8</v>
      </c>
    </row>
    <row r="20" spans="1:7">
      <c r="A20" s="37" t="s">
        <v>90</v>
      </c>
      <c r="B20" s="38">
        <v>20874</v>
      </c>
      <c r="C20" s="38"/>
      <c r="D20" s="38">
        <v>0</v>
      </c>
      <c r="E20" s="38">
        <v>1975</v>
      </c>
      <c r="F20" s="38">
        <v>55000</v>
      </c>
      <c r="G20" s="38">
        <v>50719.3</v>
      </c>
    </row>
    <row r="21" spans="1:7">
      <c r="A21" s="37" t="s">
        <v>123</v>
      </c>
      <c r="B21" s="38">
        <v>9690</v>
      </c>
      <c r="C21" s="38"/>
      <c r="D21" s="38">
        <v>1791</v>
      </c>
      <c r="E21" s="38">
        <v>3295</v>
      </c>
      <c r="F21" s="38">
        <v>53000</v>
      </c>
      <c r="G21" s="38">
        <v>35386.716666666667</v>
      </c>
    </row>
    <row r="22" spans="1:7">
      <c r="A22" s="37" t="s">
        <v>85</v>
      </c>
      <c r="B22" s="38">
        <v>19475</v>
      </c>
      <c r="C22" s="38"/>
      <c r="D22" s="38">
        <v>672</v>
      </c>
      <c r="E22" s="38">
        <v>5810</v>
      </c>
      <c r="F22" s="38">
        <v>55000</v>
      </c>
      <c r="G22" s="38">
        <v>33958.800000000003</v>
      </c>
    </row>
    <row r="23" spans="1:7">
      <c r="A23" s="37" t="s">
        <v>113</v>
      </c>
      <c r="B23" s="38">
        <v>13900.95</v>
      </c>
      <c r="C23" s="38"/>
      <c r="D23" s="38">
        <v>0</v>
      </c>
      <c r="E23" s="38">
        <v>930</v>
      </c>
      <c r="F23" s="38">
        <v>30000</v>
      </c>
      <c r="G23" s="38">
        <v>48682.8</v>
      </c>
    </row>
    <row r="24" spans="1:7">
      <c r="A24" s="37" t="s">
        <v>118</v>
      </c>
      <c r="B24" s="38">
        <v>0</v>
      </c>
      <c r="C24" s="38"/>
      <c r="D24" s="38">
        <v>0</v>
      </c>
      <c r="E24" s="38">
        <v>985</v>
      </c>
      <c r="F24" s="38">
        <v>68000</v>
      </c>
      <c r="G24" s="38">
        <v>32327.3</v>
      </c>
    </row>
    <row r="25" spans="1:7">
      <c r="A25" s="37" t="s">
        <v>127</v>
      </c>
      <c r="B25" s="38">
        <v>28690</v>
      </c>
      <c r="C25" s="38">
        <v>100</v>
      </c>
      <c r="D25" s="38">
        <v>6917</v>
      </c>
      <c r="E25" s="38">
        <v>8515</v>
      </c>
      <c r="F25" s="38">
        <v>62074</v>
      </c>
      <c r="G25" s="38">
        <v>46534.000000000007</v>
      </c>
    </row>
    <row r="26" spans="1:7">
      <c r="A26" s="37" t="s">
        <v>142</v>
      </c>
      <c r="B26" s="38">
        <v>35009.800000000003</v>
      </c>
      <c r="C26" s="38"/>
      <c r="D26" s="38">
        <v>1530</v>
      </c>
      <c r="E26" s="38">
        <v>5440</v>
      </c>
      <c r="F26" s="38">
        <v>38020</v>
      </c>
      <c r="G26" s="38">
        <v>30331.3</v>
      </c>
    </row>
    <row r="27" spans="1:7">
      <c r="A27" s="37" t="s">
        <v>132</v>
      </c>
      <c r="B27" s="38">
        <v>28890</v>
      </c>
      <c r="C27" s="38"/>
      <c r="D27" s="38">
        <v>0</v>
      </c>
      <c r="E27" s="38">
        <v>6250</v>
      </c>
      <c r="F27" s="38">
        <v>41054</v>
      </c>
      <c r="G27" s="38">
        <v>59062.3</v>
      </c>
    </row>
    <row r="28" spans="1:7">
      <c r="A28" s="37" t="s">
        <v>201</v>
      </c>
      <c r="B28" s="38">
        <v>29758.329999999998</v>
      </c>
      <c r="C28" s="38">
        <v>420</v>
      </c>
      <c r="D28" s="38">
        <v>4241</v>
      </c>
      <c r="E28" s="38">
        <v>8630</v>
      </c>
      <c r="F28" s="38">
        <v>0</v>
      </c>
      <c r="G28" s="38">
        <v>39938.133333333339</v>
      </c>
    </row>
    <row r="29" spans="1:7">
      <c r="A29" s="37" t="s">
        <v>188</v>
      </c>
      <c r="B29" s="38">
        <v>24918.739999999998</v>
      </c>
      <c r="C29" s="38">
        <v>700</v>
      </c>
      <c r="D29" s="38">
        <v>0</v>
      </c>
      <c r="E29" s="38">
        <v>2500</v>
      </c>
      <c r="F29" s="38">
        <v>0</v>
      </c>
      <c r="G29" s="38">
        <v>42701.133333333339</v>
      </c>
    </row>
    <row r="30" spans="1:7">
      <c r="A30" s="37" t="s">
        <v>171</v>
      </c>
      <c r="B30" s="38">
        <v>41085.03</v>
      </c>
      <c r="C30" s="38">
        <v>2440</v>
      </c>
      <c r="D30" s="38">
        <v>0</v>
      </c>
      <c r="E30" s="38">
        <v>11784</v>
      </c>
      <c r="F30" s="38">
        <v>0</v>
      </c>
      <c r="G30" s="38">
        <v>43084.466666666674</v>
      </c>
    </row>
    <row r="31" spans="1:7">
      <c r="A31" s="37" t="s">
        <v>176</v>
      </c>
      <c r="B31" s="38">
        <v>23336.16</v>
      </c>
      <c r="C31" s="38">
        <v>170</v>
      </c>
      <c r="D31" s="38">
        <v>4480</v>
      </c>
      <c r="E31" s="38">
        <v>6960</v>
      </c>
      <c r="F31" s="38">
        <v>0</v>
      </c>
      <c r="G31" s="38">
        <v>43801.716666666674</v>
      </c>
    </row>
    <row r="32" spans="1:7">
      <c r="A32" s="37" t="s">
        <v>225</v>
      </c>
      <c r="B32" s="38">
        <v>28110.81</v>
      </c>
      <c r="C32" s="38"/>
      <c r="D32" s="38">
        <v>4241</v>
      </c>
      <c r="E32" s="38">
        <v>11002</v>
      </c>
      <c r="F32" s="38">
        <v>0</v>
      </c>
      <c r="G32" s="38">
        <v>43339.466666666667</v>
      </c>
    </row>
    <row r="33" spans="1:7">
      <c r="A33" s="37" t="s">
        <v>180</v>
      </c>
      <c r="B33" s="38">
        <v>28316.75</v>
      </c>
      <c r="C33" s="38"/>
      <c r="D33" s="38">
        <v>0</v>
      </c>
      <c r="E33" s="38">
        <v>5817</v>
      </c>
      <c r="F33" s="38">
        <v>0</v>
      </c>
      <c r="G33" s="38">
        <v>43608.3</v>
      </c>
    </row>
    <row r="34" spans="1:7">
      <c r="A34" s="37" t="s">
        <v>34</v>
      </c>
      <c r="B34" s="38">
        <v>10042.200000000001</v>
      </c>
      <c r="C34" s="38"/>
      <c r="D34" s="38">
        <v>360</v>
      </c>
      <c r="E34" s="38">
        <v>6370</v>
      </c>
      <c r="F34" s="38">
        <v>6065</v>
      </c>
      <c r="G34" s="38">
        <v>36457.300000000003</v>
      </c>
    </row>
    <row r="35" spans="1:7">
      <c r="A35" s="37" t="s">
        <v>163</v>
      </c>
      <c r="B35" s="38">
        <v>60491</v>
      </c>
      <c r="C35" s="38"/>
      <c r="D35" s="38">
        <v>9690</v>
      </c>
      <c r="E35" s="38">
        <v>19375</v>
      </c>
      <c r="F35" s="38">
        <v>101064</v>
      </c>
      <c r="G35" s="38">
        <v>125542</v>
      </c>
    </row>
    <row r="36" spans="1:7">
      <c r="A36" s="37" t="s">
        <v>68</v>
      </c>
      <c r="B36" s="38">
        <v>25935</v>
      </c>
      <c r="C36" s="38">
        <v>700</v>
      </c>
      <c r="D36" s="38">
        <v>6917</v>
      </c>
      <c r="E36" s="38">
        <v>4440</v>
      </c>
      <c r="F36" s="38">
        <v>54000</v>
      </c>
      <c r="G36" s="38">
        <v>45708.05</v>
      </c>
    </row>
    <row r="37" spans="1:7">
      <c r="A37" s="37" t="s">
        <v>74</v>
      </c>
      <c r="B37" s="38">
        <v>19564.3</v>
      </c>
      <c r="C37" s="38">
        <v>570</v>
      </c>
      <c r="D37" s="38">
        <v>7905</v>
      </c>
      <c r="E37" s="38">
        <v>0</v>
      </c>
      <c r="F37" s="38">
        <v>32000</v>
      </c>
      <c r="G37" s="38">
        <v>6686.8271999999997</v>
      </c>
    </row>
    <row r="38" spans="1:7">
      <c r="A38" s="37" t="s">
        <v>100</v>
      </c>
      <c r="B38" s="38">
        <v>26463.29</v>
      </c>
      <c r="C38" s="38"/>
      <c r="D38" s="38">
        <v>170</v>
      </c>
      <c r="E38" s="38">
        <v>6210</v>
      </c>
      <c r="F38" s="38">
        <v>0</v>
      </c>
      <c r="G38" s="38">
        <v>49605.883333333339</v>
      </c>
    </row>
    <row r="39" spans="1:7">
      <c r="A39" s="37" t="s">
        <v>57</v>
      </c>
      <c r="B39" s="38">
        <v>9372.7199999999993</v>
      </c>
      <c r="C39" s="38"/>
      <c r="D39" s="38">
        <v>0</v>
      </c>
      <c r="E39" s="38">
        <v>670</v>
      </c>
      <c r="F39" s="38">
        <v>57534</v>
      </c>
      <c r="G39" s="38">
        <v>40455.966666666667</v>
      </c>
    </row>
    <row r="40" spans="1:7">
      <c r="A40" s="37" t="s">
        <v>40</v>
      </c>
      <c r="B40" s="38">
        <v>26587.920000000002</v>
      </c>
      <c r="C40" s="38">
        <v>70</v>
      </c>
      <c r="D40" s="38">
        <v>0</v>
      </c>
      <c r="E40" s="38">
        <v>6950</v>
      </c>
      <c r="F40" s="38">
        <v>57163</v>
      </c>
      <c r="G40" s="38">
        <v>46550.133333333331</v>
      </c>
    </row>
    <row r="41" spans="1:7">
      <c r="A41" s="37" t="s">
        <v>167</v>
      </c>
      <c r="B41" s="38">
        <v>27835</v>
      </c>
      <c r="C41" s="38">
        <v>99</v>
      </c>
      <c r="D41" s="38">
        <v>0</v>
      </c>
      <c r="E41" s="38">
        <v>11370</v>
      </c>
      <c r="F41" s="38">
        <v>47860</v>
      </c>
      <c r="G41" s="38">
        <v>49774.716666666667</v>
      </c>
    </row>
    <row r="42" spans="1:7">
      <c r="A42" s="37" t="s">
        <v>80</v>
      </c>
      <c r="B42" s="38">
        <v>30067.239999999998</v>
      </c>
      <c r="C42" s="38">
        <v>240</v>
      </c>
      <c r="D42" s="38">
        <v>0</v>
      </c>
      <c r="E42" s="38">
        <v>6095</v>
      </c>
      <c r="F42" s="38">
        <v>35297</v>
      </c>
      <c r="G42" s="38">
        <v>47561.716666666674</v>
      </c>
    </row>
    <row r="43" spans="1:7">
      <c r="A43" s="37" t="s">
        <v>208</v>
      </c>
      <c r="B43" s="38">
        <v>0</v>
      </c>
      <c r="C43" s="38"/>
      <c r="D43" s="38">
        <v>0</v>
      </c>
      <c r="E43" s="38">
        <v>0</v>
      </c>
      <c r="F43" s="38">
        <v>0</v>
      </c>
      <c r="G43" s="38">
        <v>47334.919133333337</v>
      </c>
    </row>
    <row r="44" spans="1:7">
      <c r="A44" s="37" t="s">
        <v>211</v>
      </c>
      <c r="B44" s="38">
        <v>0</v>
      </c>
      <c r="C44" s="38"/>
      <c r="D44" s="38">
        <v>0</v>
      </c>
      <c r="E44" s="38">
        <v>0</v>
      </c>
      <c r="F44" s="38">
        <v>0</v>
      </c>
      <c r="G44" s="38">
        <v>45575.233333333337</v>
      </c>
    </row>
    <row r="45" spans="1:7">
      <c r="A45" s="37" t="s">
        <v>214</v>
      </c>
      <c r="B45" s="38">
        <v>0</v>
      </c>
      <c r="C45" s="38"/>
      <c r="D45" s="38">
        <v>0</v>
      </c>
      <c r="E45" s="38">
        <v>0</v>
      </c>
      <c r="F45" s="38">
        <v>0</v>
      </c>
      <c r="G45" s="38">
        <v>42058.3</v>
      </c>
    </row>
    <row r="46" spans="1:7">
      <c r="A46" s="37" t="s">
        <v>217</v>
      </c>
      <c r="B46" s="38">
        <v>0</v>
      </c>
      <c r="C46" s="38"/>
      <c r="D46" s="38">
        <v>0</v>
      </c>
      <c r="E46" s="38">
        <v>0</v>
      </c>
      <c r="F46" s="38">
        <v>0</v>
      </c>
      <c r="G46" s="38">
        <v>42467.55</v>
      </c>
    </row>
    <row r="47" spans="1:7">
      <c r="A47" s="37" t="s">
        <v>147</v>
      </c>
      <c r="B47" s="38">
        <v>0</v>
      </c>
      <c r="C47" s="38"/>
      <c r="D47" s="38">
        <v>0</v>
      </c>
      <c r="E47" s="38">
        <v>0</v>
      </c>
      <c r="F47" s="38">
        <v>0</v>
      </c>
      <c r="G47" s="38">
        <v>34091.300000000003</v>
      </c>
    </row>
    <row r="48" spans="1:7">
      <c r="A48" s="37" t="s">
        <v>244</v>
      </c>
      <c r="B48" s="38">
        <v>935564.00000000012</v>
      </c>
      <c r="C48" s="38">
        <v>7016</v>
      </c>
      <c r="D48" s="38">
        <v>71611</v>
      </c>
      <c r="E48" s="38">
        <v>233075</v>
      </c>
      <c r="F48" s="38">
        <v>1329355</v>
      </c>
      <c r="G48" s="38">
        <v>1887502.0331333335</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2E5C3F-54A2-4706-A7DC-D45B738DD428}">
  <dimension ref="A1"/>
  <sheetViews>
    <sheetView showGridLines="0" zoomScaleNormal="100" workbookViewId="0">
      <selection activeCell="Y18" sqref="Y18"/>
    </sheetView>
  </sheetViews>
  <sheetFormatPr defaultRowHeight="14.4"/>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E28CC6-78E2-4EBF-8D3A-2D500335307D}">
  <dimension ref="A3:C20"/>
  <sheetViews>
    <sheetView workbookViewId="0">
      <selection activeCell="A3" sqref="A3"/>
    </sheetView>
  </sheetViews>
  <sheetFormatPr defaultRowHeight="14.4"/>
  <cols>
    <col min="1" max="1" width="16.88671875" bestFit="1" customWidth="1"/>
    <col min="2" max="2" width="15.5546875" bestFit="1" customWidth="1"/>
    <col min="3" max="3" width="7.77734375" bestFit="1" customWidth="1"/>
    <col min="4" max="4" width="6.44140625" bestFit="1" customWidth="1"/>
    <col min="5" max="5" width="7" bestFit="1" customWidth="1"/>
    <col min="6" max="7" width="6.77734375" bestFit="1" customWidth="1"/>
    <col min="8" max="8" width="7" bestFit="1" customWidth="1"/>
    <col min="9" max="9" width="10.5546875" bestFit="1" customWidth="1"/>
  </cols>
  <sheetData>
    <row r="3" spans="1:3">
      <c r="A3" s="27"/>
      <c r="B3" s="28"/>
      <c r="C3" s="29"/>
    </row>
    <row r="4" spans="1:3">
      <c r="A4" s="30"/>
      <c r="B4" s="31"/>
      <c r="C4" s="32"/>
    </row>
    <row r="5" spans="1:3">
      <c r="A5" s="30"/>
      <c r="B5" s="31"/>
      <c r="C5" s="32"/>
    </row>
    <row r="6" spans="1:3">
      <c r="A6" s="30"/>
      <c r="B6" s="31"/>
      <c r="C6" s="32"/>
    </row>
    <row r="7" spans="1:3">
      <c r="A7" s="30"/>
      <c r="B7" s="31"/>
      <c r="C7" s="32"/>
    </row>
    <row r="8" spans="1:3">
      <c r="A8" s="30"/>
      <c r="B8" s="31"/>
      <c r="C8" s="32"/>
    </row>
    <row r="9" spans="1:3">
      <c r="A9" s="30"/>
      <c r="B9" s="31"/>
      <c r="C9" s="32"/>
    </row>
    <row r="10" spans="1:3">
      <c r="A10" s="30"/>
      <c r="B10" s="31"/>
      <c r="C10" s="32"/>
    </row>
    <row r="11" spans="1:3">
      <c r="A11" s="30"/>
      <c r="B11" s="31"/>
      <c r="C11" s="32"/>
    </row>
    <row r="12" spans="1:3">
      <c r="A12" s="30"/>
      <c r="B12" s="31"/>
      <c r="C12" s="32"/>
    </row>
    <row r="13" spans="1:3">
      <c r="A13" s="30"/>
      <c r="B13" s="31"/>
      <c r="C13" s="32"/>
    </row>
    <row r="14" spans="1:3">
      <c r="A14" s="30"/>
      <c r="B14" s="31"/>
      <c r="C14" s="32"/>
    </row>
    <row r="15" spans="1:3">
      <c r="A15" s="30"/>
      <c r="B15" s="31"/>
      <c r="C15" s="32"/>
    </row>
    <row r="16" spans="1:3">
      <c r="A16" s="30"/>
      <c r="B16" s="31"/>
      <c r="C16" s="32"/>
    </row>
    <row r="17" spans="1:3">
      <c r="A17" s="30"/>
      <c r="B17" s="31"/>
      <c r="C17" s="32"/>
    </row>
    <row r="18" spans="1:3">
      <c r="A18" s="30"/>
      <c r="B18" s="31"/>
      <c r="C18" s="32"/>
    </row>
    <row r="19" spans="1:3">
      <c r="A19" s="30"/>
      <c r="B19" s="31"/>
      <c r="C19" s="32"/>
    </row>
    <row r="20" spans="1:3">
      <c r="A20" s="33"/>
      <c r="B20" s="34"/>
      <c r="C20" s="35"/>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0D6C99-415F-40FF-A99F-35361E3C1279}">
  <dimension ref="A1:Y46"/>
  <sheetViews>
    <sheetView tabSelected="1" workbookViewId="0">
      <selection activeCell="M29" sqref="M29"/>
    </sheetView>
  </sheetViews>
  <sheetFormatPr defaultRowHeight="14.4"/>
  <cols>
    <col min="1" max="1" width="6.6640625" style="26" customWidth="1"/>
    <col min="2" max="2" width="22.33203125" bestFit="1" customWidth="1"/>
    <col min="3" max="3" width="24.77734375" bestFit="1" customWidth="1"/>
    <col min="4" max="4" width="23" bestFit="1" customWidth="1"/>
    <col min="5" max="5" width="19.33203125" bestFit="1" customWidth="1"/>
    <col min="6" max="6" width="23.6640625" bestFit="1" customWidth="1"/>
    <col min="7" max="7" width="38" bestFit="1" customWidth="1"/>
    <col min="8" max="8" width="16.88671875" bestFit="1" customWidth="1"/>
    <col min="9" max="9" width="60.21875" bestFit="1" customWidth="1"/>
    <col min="10" max="10" width="16.6640625" bestFit="1" customWidth="1"/>
    <col min="11" max="11" width="14.44140625" bestFit="1" customWidth="1"/>
    <col min="12" max="12" width="13.44140625" bestFit="1" customWidth="1"/>
    <col min="13" max="13" width="15.21875" bestFit="1" customWidth="1"/>
    <col min="14" max="14" width="22.44140625" bestFit="1" customWidth="1"/>
    <col min="15" max="15" width="21.109375" bestFit="1" customWidth="1"/>
    <col min="16" max="16" width="26.6640625" customWidth="1"/>
    <col min="17" max="17" width="13.88671875" bestFit="1" customWidth="1"/>
    <col min="18" max="18" width="32.44140625" bestFit="1" customWidth="1"/>
    <col min="19" max="19" width="30" bestFit="1" customWidth="1"/>
    <col min="20" max="20" width="31.6640625" bestFit="1" customWidth="1"/>
    <col min="21" max="21" width="22.44140625" bestFit="1" customWidth="1"/>
    <col min="22" max="22" width="24.5546875" bestFit="1" customWidth="1"/>
    <col min="23" max="23" width="23.33203125" bestFit="1" customWidth="1"/>
    <col min="24" max="24" width="20.5546875" bestFit="1" customWidth="1"/>
    <col min="25" max="25" width="68.77734375" bestFit="1" customWidth="1"/>
  </cols>
  <sheetData>
    <row r="1" spans="1:25" ht="18">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3" t="s">
        <v>16</v>
      </c>
      <c r="R1" s="2" t="s">
        <v>17</v>
      </c>
      <c r="S1" s="2" t="s">
        <v>18</v>
      </c>
      <c r="T1" s="2" t="s">
        <v>19</v>
      </c>
      <c r="U1" s="2" t="s">
        <v>20</v>
      </c>
      <c r="V1" s="2" t="s">
        <v>21</v>
      </c>
      <c r="W1" s="2" t="s">
        <v>22</v>
      </c>
      <c r="X1" s="2" t="s">
        <v>23</v>
      </c>
      <c r="Y1" s="4" t="s">
        <v>24</v>
      </c>
    </row>
    <row r="2" spans="1:25" ht="18">
      <c r="A2" s="24">
        <v>1</v>
      </c>
      <c r="B2" s="5" t="s">
        <v>25</v>
      </c>
      <c r="C2" s="6" t="s">
        <v>26</v>
      </c>
      <c r="D2" s="6" t="s">
        <v>27</v>
      </c>
      <c r="E2" s="6">
        <v>2026</v>
      </c>
      <c r="F2" s="6" t="s">
        <v>28</v>
      </c>
      <c r="G2" s="7" t="s">
        <v>29</v>
      </c>
      <c r="H2" s="6" t="s">
        <v>30</v>
      </c>
      <c r="I2" s="6" t="s">
        <v>31</v>
      </c>
      <c r="J2" s="6" t="s">
        <v>32</v>
      </c>
      <c r="K2" s="6">
        <f>VLOOKUP(Table1[[#This Row],[CAB SHORT NO.]],'[1]JULY 26'!$C$4:$N$47,4,0)</f>
        <v>7950</v>
      </c>
      <c r="L2" s="6">
        <f>VLOOKUP(Table1[[#This Row],[CAB SHORT NO.]],'[1]JULY 26'!$C$4:$N$47,5,0)</f>
        <v>11817</v>
      </c>
      <c r="M2" s="8">
        <f>Table1[[#This Row],[End Km]]-Table1[[#This Row],[Start Km]]</f>
        <v>3867</v>
      </c>
      <c r="N2" s="8">
        <f>VLOOKUP(Table1[[#This Row],[CAB SHORT NO.]],'[1]JULY 26'!$C$4:$N$47,12,0)</f>
        <v>13.020202020202021</v>
      </c>
      <c r="O2" s="9">
        <f>VLOOKUP(Table1[[#This Row],[CAB SHORT NO.]],'[1]JULY 26'!$C$4:$N$47,10,0)</f>
        <v>30582.09</v>
      </c>
      <c r="P2" s="9"/>
      <c r="Q2" s="9">
        <f>VLOOKUP(Table1[[#This Row],[VEHICLE NUMBER]],'[2]Border Tax and Fast Tag'!$B$4:$D$157,2,0)</f>
        <v>6917</v>
      </c>
      <c r="R2" s="9">
        <f>VLOOKUP(Table1[[#This Row],[VEHICLE NUMBER]],'[2]Border Tax and Fast Tag'!$B$4:$D$157,3,0)</f>
        <v>7055</v>
      </c>
      <c r="S2" s="9">
        <v>67960</v>
      </c>
      <c r="T2" s="9">
        <f>VLOOKUP(Table1[[#This Row],[EMP CODE]],[3]CTC!$D$8:$CM$56,88,0)</f>
        <v>31804.3</v>
      </c>
      <c r="U2" s="9">
        <f>Table1[[#This Row],[FUEL EXPENSE]]+Table1[[#This Row],[VEHICLE MAINTENANCE]]+Table1[[#This Row],[STATE TAX]]+Table1[[#This Row],[FAST TAG/MCD/PARKING]]+Table1[[#This Row],[RENT &amp; DEPRECIATION]]+Table1[[#This Row],[CTC (Driver Salary/Cost)]]</f>
        <v>144318.38999999998</v>
      </c>
      <c r="V2" s="9">
        <f>VLOOKUP(Table1[[#This Row],[VEHICLE NUMBER]],'[2]Gross Invoice Amt'!$B$3:$C$161,2,0)</f>
        <v>130782</v>
      </c>
      <c r="W2" s="19"/>
      <c r="X2" s="9">
        <f>Table1[[#This Row],[HKI INVOICE AMT.]]-Table1[[#This Row],[TOTAL EXPENSE]]</f>
        <v>-13536.389999999985</v>
      </c>
      <c r="Y2" s="10"/>
    </row>
    <row r="3" spans="1:25" ht="18">
      <c r="A3" s="24">
        <v>2</v>
      </c>
      <c r="B3" s="5" t="s">
        <v>33</v>
      </c>
      <c r="C3" s="11" t="s">
        <v>34</v>
      </c>
      <c r="D3" s="11" t="s">
        <v>35</v>
      </c>
      <c r="E3" s="11">
        <v>2021</v>
      </c>
      <c r="F3" s="11" t="s">
        <v>28</v>
      </c>
      <c r="G3" s="12" t="s">
        <v>36</v>
      </c>
      <c r="H3" s="11" t="s">
        <v>37</v>
      </c>
      <c r="I3" s="6" t="s">
        <v>38</v>
      </c>
      <c r="J3" s="6" t="s">
        <v>32</v>
      </c>
      <c r="K3" s="6">
        <f>VLOOKUP(Table1[[#This Row],[CAB SHORT NO.]],'[1]JULY 26'!$C$4:$N$47,4,0)</f>
        <v>47724</v>
      </c>
      <c r="L3" s="6">
        <f>VLOOKUP(Table1[[#This Row],[CAB SHORT NO.]],'[1]JULY 26'!$C$4:$N$47,5,0)</f>
        <v>48595</v>
      </c>
      <c r="M3" s="8">
        <f>Table1[[#This Row],[End Km]]-Table1[[#This Row],[Start Km]]</f>
        <v>871</v>
      </c>
      <c r="N3" s="8">
        <f>VLOOKUP(Table1[[#This Row],[CAB SHORT NO.]],'[1]JULY 26'!$C$4:$N$47,12,0)</f>
        <v>8.295238095238096</v>
      </c>
      <c r="O3" s="9">
        <f>VLOOKUP(Table1[[#This Row],[CAB SHORT NO.]],'[1]JULY 26'!$C$4:$N$47,10,0)</f>
        <v>10042.200000000001</v>
      </c>
      <c r="P3" s="9"/>
      <c r="Q3" s="9">
        <f>VLOOKUP(Table1[[#This Row],[VEHICLE NUMBER]],'[2]Border Tax and Fast Tag'!$B$4:$D$157,2,0)</f>
        <v>360</v>
      </c>
      <c r="R3" s="9">
        <f>VLOOKUP(Table1[[#This Row],[VEHICLE NUMBER]],'[2]Border Tax and Fast Tag'!$B$4:$D$157,3,0)</f>
        <v>6370</v>
      </c>
      <c r="S3" s="9">
        <v>6065</v>
      </c>
      <c r="T3" s="9">
        <f>VLOOKUP(Table1[[#This Row],[EMP CODE]],[3]CTC!$D$8:$CM$56,88,0)</f>
        <v>36457.300000000003</v>
      </c>
      <c r="U3" s="9">
        <f>Table1[[#This Row],[FUEL EXPENSE]]+Table1[[#This Row],[VEHICLE MAINTENANCE]]+Table1[[#This Row],[STATE TAX]]+Table1[[#This Row],[FAST TAG/MCD/PARKING]]+Table1[[#This Row],[RENT &amp; DEPRECIATION]]+Table1[[#This Row],[CTC (Driver Salary/Cost)]]</f>
        <v>59294.5</v>
      </c>
      <c r="V3" s="9">
        <f>VLOOKUP(Table1[[#This Row],[VEHICLE NUMBER]],'[2]Gross Invoice Amt'!$B$3:$C$161,2,0)</f>
        <v>94905</v>
      </c>
      <c r="W3" s="9">
        <f>Table1[[#This Row],[HKI INVOICE AMT.]]-Table1[[#This Row],[TOTAL EXPENSE]]</f>
        <v>35610.5</v>
      </c>
      <c r="X3" s="9"/>
      <c r="Y3" s="10"/>
    </row>
    <row r="4" spans="1:25" ht="18">
      <c r="A4" s="24">
        <v>3</v>
      </c>
      <c r="B4" s="5" t="s">
        <v>39</v>
      </c>
      <c r="C4" s="6" t="s">
        <v>40</v>
      </c>
      <c r="D4" s="6" t="s">
        <v>35</v>
      </c>
      <c r="E4" s="6">
        <v>2025</v>
      </c>
      <c r="F4" s="6" t="s">
        <v>28</v>
      </c>
      <c r="G4" s="7" t="s">
        <v>41</v>
      </c>
      <c r="H4" s="5" t="s">
        <v>42</v>
      </c>
      <c r="I4" s="6" t="s">
        <v>43</v>
      </c>
      <c r="J4" s="6" t="s">
        <v>32</v>
      </c>
      <c r="K4" s="6">
        <f>VLOOKUP(Table1[[#This Row],[CAB SHORT NO.]],'[1]JULY 26'!$C$4:$N$47,4,0)</f>
        <v>20947</v>
      </c>
      <c r="L4" s="6">
        <f>VLOOKUP(Table1[[#This Row],[CAB SHORT NO.]],'[1]JULY 26'!$C$4:$N$47,5,0)</f>
        <v>23816</v>
      </c>
      <c r="M4" s="8">
        <f>Table1[[#This Row],[End Km]]-Table1[[#This Row],[Start Km]]</f>
        <v>2869</v>
      </c>
      <c r="N4" s="8">
        <f>VLOOKUP(Table1[[#This Row],[CAB SHORT NO.]],'[1]JULY 26'!$C$4:$N$47,12,0)</f>
        <v>10.320143884892087</v>
      </c>
      <c r="O4" s="9">
        <f>VLOOKUP(Table1[[#This Row],[CAB SHORT NO.]],'[1]JULY 26'!$C$4:$N$47,10,0)</f>
        <v>26587.920000000002</v>
      </c>
      <c r="P4" s="9">
        <v>70</v>
      </c>
      <c r="Q4" s="9">
        <f>VLOOKUP(Table1[[#This Row],[VEHICLE NUMBER]],'[2]Border Tax and Fast Tag'!$B$4:$D$157,2,0)</f>
        <v>0</v>
      </c>
      <c r="R4" s="9">
        <f>VLOOKUP(Table1[[#This Row],[VEHICLE NUMBER]],'[2]Border Tax and Fast Tag'!$B$4:$D$157,3,0)</f>
        <v>6950</v>
      </c>
      <c r="S4" s="9">
        <v>57163</v>
      </c>
      <c r="T4" s="9">
        <f>VLOOKUP(Table1[[#This Row],[EMP CODE]],[3]CTC!$D$8:$CM$56,88,0)</f>
        <v>46550.133333333331</v>
      </c>
      <c r="U4" s="9">
        <f>Table1[[#This Row],[FUEL EXPENSE]]+Table1[[#This Row],[VEHICLE MAINTENANCE]]+Table1[[#This Row],[STATE TAX]]+Table1[[#This Row],[FAST TAG/MCD/PARKING]]+Table1[[#This Row],[RENT &amp; DEPRECIATION]]+Table1[[#This Row],[CTC (Driver Salary/Cost)]]</f>
        <v>137321.05333333334</v>
      </c>
      <c r="V4" s="9">
        <f>VLOOKUP(Table1[[#This Row],[VEHICLE NUMBER]],'[2]Gross Invoice Amt'!$B$3:$C$161,2,0)</f>
        <v>157626.67000000001</v>
      </c>
      <c r="W4" s="9">
        <f>Table1[[#This Row],[HKI INVOICE AMT.]]-Table1[[#This Row],[TOTAL EXPENSE]]</f>
        <v>20305.616666666669</v>
      </c>
      <c r="X4" s="9"/>
      <c r="Y4" s="10"/>
    </row>
    <row r="5" spans="1:25" ht="18">
      <c r="A5" s="24">
        <v>4</v>
      </c>
      <c r="B5" s="5" t="s">
        <v>44</v>
      </c>
      <c r="C5" s="6" t="s">
        <v>45</v>
      </c>
      <c r="D5" s="6" t="s">
        <v>46</v>
      </c>
      <c r="E5" s="6">
        <v>2025</v>
      </c>
      <c r="F5" s="6" t="s">
        <v>28</v>
      </c>
      <c r="G5" s="7" t="s">
        <v>47</v>
      </c>
      <c r="H5" s="5" t="s">
        <v>48</v>
      </c>
      <c r="I5" s="6" t="s">
        <v>49</v>
      </c>
      <c r="J5" s="6" t="s">
        <v>32</v>
      </c>
      <c r="K5" s="6">
        <f>VLOOKUP(Table1[[#This Row],[CAB SHORT NO.]],'[1]JULY 26'!$C$4:$N$47,4,0)</f>
        <v>14958</v>
      </c>
      <c r="L5" s="6">
        <f>VLOOKUP(Table1[[#This Row],[CAB SHORT NO.]],'[1]JULY 26'!$C$4:$N$47,5,0)</f>
        <v>17436</v>
      </c>
      <c r="M5" s="8">
        <f>Table1[[#This Row],[End Km]]-Table1[[#This Row],[Start Km]]</f>
        <v>2478</v>
      </c>
      <c r="N5" s="8">
        <f>VLOOKUP(Table1[[#This Row],[CAB SHORT NO.]],'[1]JULY 26'!$C$4:$N$47,12,0)</f>
        <v>12.328358208955224</v>
      </c>
      <c r="O5" s="9">
        <f>VLOOKUP(Table1[[#This Row],[CAB SHORT NO.]],'[1]JULY 26'!$C$4:$N$47,10,0)</f>
        <v>20696.97</v>
      </c>
      <c r="P5" s="9">
        <v>60</v>
      </c>
      <c r="Q5" s="9">
        <f>VLOOKUP(Table1[[#This Row],[VEHICLE NUMBER]],'[2]Border Tax and Fast Tag'!$B$4:$D$157,2,0)</f>
        <v>0</v>
      </c>
      <c r="R5" s="9">
        <f>VLOOKUP(Table1[[#This Row],[VEHICLE NUMBER]],'[2]Border Tax and Fast Tag'!$B$4:$D$157,3,0)</f>
        <v>4820</v>
      </c>
      <c r="S5" s="9">
        <v>21320</v>
      </c>
      <c r="T5" s="9">
        <f>VLOOKUP(Table1[[#This Row],[EMP CODE]],[3]CTC!$D$8:$CM$56,88,0)</f>
        <v>42514.804799999998</v>
      </c>
      <c r="U5" s="9">
        <f>Table1[[#This Row],[FUEL EXPENSE]]+Table1[[#This Row],[VEHICLE MAINTENANCE]]+Table1[[#This Row],[STATE TAX]]+Table1[[#This Row],[FAST TAG/MCD/PARKING]]+Table1[[#This Row],[RENT &amp; DEPRECIATION]]+Table1[[#This Row],[CTC (Driver Salary/Cost)]]</f>
        <v>89411.774799999999</v>
      </c>
      <c r="V5" s="9">
        <f>VLOOKUP(Table1[[#This Row],[VEHICLE NUMBER]],'[2]Gross Invoice Amt'!$B$3:$C$161,2,0)</f>
        <v>96741.33</v>
      </c>
      <c r="W5" s="9">
        <f>Table1[[#This Row],[HKI INVOICE AMT.]]-Table1[[#This Row],[TOTAL EXPENSE]]</f>
        <v>7329.5552000000025</v>
      </c>
      <c r="X5" s="9"/>
      <c r="Y5" s="10"/>
    </row>
    <row r="6" spans="1:25" ht="18">
      <c r="A6" s="24">
        <v>5</v>
      </c>
      <c r="B6" s="5" t="s">
        <v>50</v>
      </c>
      <c r="C6" s="6" t="s">
        <v>51</v>
      </c>
      <c r="D6" s="6" t="s">
        <v>52</v>
      </c>
      <c r="E6" s="6">
        <v>2025</v>
      </c>
      <c r="F6" s="6" t="s">
        <v>28</v>
      </c>
      <c r="G6" s="7" t="s">
        <v>53</v>
      </c>
      <c r="H6" s="5" t="s">
        <v>54</v>
      </c>
      <c r="I6" s="6" t="s">
        <v>55</v>
      </c>
      <c r="J6" s="6" t="s">
        <v>32</v>
      </c>
      <c r="K6" s="6">
        <f>VLOOKUP(Table1[[#This Row],[CAB SHORT NO.]],'[1]JULY 26'!$C$4:$N$47,4,0)</f>
        <v>9536</v>
      </c>
      <c r="L6" s="6">
        <f>VLOOKUP(Table1[[#This Row],[CAB SHORT NO.]],'[1]JULY 26'!$C$4:$N$47,5,0)</f>
        <v>10851</v>
      </c>
      <c r="M6" s="8">
        <f>Table1[[#This Row],[End Km]]-Table1[[#This Row],[Start Km]]</f>
        <v>1315</v>
      </c>
      <c r="N6" s="8">
        <f>VLOOKUP(Table1[[#This Row],[CAB SHORT NO.]],'[1]JULY 26'!$C$4:$N$47,12,0)</f>
        <v>11.14406779661017</v>
      </c>
      <c r="O6" s="9">
        <f>VLOOKUP(Table1[[#This Row],[CAB SHORT NO.]],'[1]JULY 26'!$C$4:$N$47,10,0)</f>
        <v>12150.46</v>
      </c>
      <c r="P6" s="9"/>
      <c r="Q6" s="9">
        <f>VLOOKUP(Table1[[#This Row],[VEHICLE NUMBER]],'[2]Border Tax and Fast Tag'!$B$4:$D$157,2,0)</f>
        <v>0</v>
      </c>
      <c r="R6" s="9">
        <f>VLOOKUP(Table1[[#This Row],[VEHICLE NUMBER]],'[2]Border Tax and Fast Tag'!$B$4:$D$157,3,0)</f>
        <v>1050</v>
      </c>
      <c r="S6" s="9">
        <v>45035</v>
      </c>
      <c r="T6" s="9">
        <f>VLOOKUP(Table1[[#This Row],[EMP CODE]],[3]CTC!$D$8:$CM$56,88,0)</f>
        <v>47792.3</v>
      </c>
      <c r="U6" s="9">
        <f>Table1[[#This Row],[FUEL EXPENSE]]+Table1[[#This Row],[VEHICLE MAINTENANCE]]+Table1[[#This Row],[STATE TAX]]+Table1[[#This Row],[FAST TAG/MCD/PARKING]]+Table1[[#This Row],[RENT &amp; DEPRECIATION]]+Table1[[#This Row],[CTC (Driver Salary/Cost)]]</f>
        <v>106027.76000000001</v>
      </c>
      <c r="V6" s="9">
        <f>VLOOKUP(Table1[[#This Row],[VEHICLE NUMBER]],'[2]Gross Invoice Amt'!$B$3:$C$161,2,0)</f>
        <v>122333.33</v>
      </c>
      <c r="W6" s="9">
        <f>Table1[[#This Row],[HKI INVOICE AMT.]]-Table1[[#This Row],[TOTAL EXPENSE]]</f>
        <v>16305.569999999992</v>
      </c>
      <c r="X6" s="9"/>
      <c r="Y6" s="10"/>
    </row>
    <row r="7" spans="1:25" ht="18">
      <c r="A7" s="24">
        <v>6</v>
      </c>
      <c r="B7" s="5" t="s">
        <v>56</v>
      </c>
      <c r="C7" s="6" t="s">
        <v>57</v>
      </c>
      <c r="D7" s="6" t="s">
        <v>35</v>
      </c>
      <c r="E7" s="6">
        <v>2025</v>
      </c>
      <c r="F7" s="6" t="s">
        <v>28</v>
      </c>
      <c r="G7" s="7" t="s">
        <v>58</v>
      </c>
      <c r="H7" s="5" t="s">
        <v>59</v>
      </c>
      <c r="I7" s="6" t="s">
        <v>60</v>
      </c>
      <c r="J7" s="6" t="s">
        <v>32</v>
      </c>
      <c r="K7" s="6">
        <f>VLOOKUP(Table1[[#This Row],[CAB SHORT NO.]],'[1]JULY 26'!$C$4:$N$47,4,0)</f>
        <v>13071</v>
      </c>
      <c r="L7" s="6">
        <f>VLOOKUP(Table1[[#This Row],[CAB SHORT NO.]],'[1]JULY 26'!$C$4:$N$47,5,0)</f>
        <v>14249</v>
      </c>
      <c r="M7" s="8">
        <f>Table1[[#This Row],[End Km]]-Table1[[#This Row],[Start Km]]</f>
        <v>1178</v>
      </c>
      <c r="N7" s="8">
        <f>VLOOKUP(Table1[[#This Row],[CAB SHORT NO.]],'[1]JULY 26'!$C$4:$N$47,12,0)</f>
        <v>12.020408163265307</v>
      </c>
      <c r="O7" s="9">
        <f>VLOOKUP(Table1[[#This Row],[CAB SHORT NO.]],'[1]JULY 26'!$C$4:$N$47,10,0)</f>
        <v>9372.7199999999993</v>
      </c>
      <c r="P7" s="9"/>
      <c r="Q7" s="9">
        <f>VLOOKUP(Table1[[#This Row],[VEHICLE NUMBER]],'[2]Border Tax and Fast Tag'!$B$4:$D$157,2,0)</f>
        <v>0</v>
      </c>
      <c r="R7" s="9">
        <f>VLOOKUP(Table1[[#This Row],[VEHICLE NUMBER]],'[2]Border Tax and Fast Tag'!$B$4:$D$157,3,0)</f>
        <v>670</v>
      </c>
      <c r="S7" s="9">
        <v>57534</v>
      </c>
      <c r="T7" s="9">
        <f>VLOOKUP(Table1[[#This Row],[EMP CODE]],[3]CTC!$D$8:$CM$56,88,0)</f>
        <v>40455.966666666667</v>
      </c>
      <c r="U7" s="9">
        <f>Table1[[#This Row],[FUEL EXPENSE]]+Table1[[#This Row],[VEHICLE MAINTENANCE]]+Table1[[#This Row],[STATE TAX]]+Table1[[#This Row],[FAST TAG/MCD/PARKING]]+Table1[[#This Row],[RENT &amp; DEPRECIATION]]+Table1[[#This Row],[CTC (Driver Salary/Cost)]]</f>
        <v>108032.68666666668</v>
      </c>
      <c r="V7" s="9">
        <f>VLOOKUP(Table1[[#This Row],[VEHICLE NUMBER]],'[2]Gross Invoice Amt'!$B$3:$C$161,2,0)</f>
        <v>132828.32999999999</v>
      </c>
      <c r="W7" s="9">
        <f>Table1[[#This Row],[HKI INVOICE AMT.]]-Table1[[#This Row],[TOTAL EXPENSE]]</f>
        <v>24795.643333333312</v>
      </c>
      <c r="X7" s="9"/>
      <c r="Y7" s="10"/>
    </row>
    <row r="8" spans="1:25" ht="18">
      <c r="A8" s="24">
        <v>7</v>
      </c>
      <c r="B8" s="5" t="s">
        <v>61</v>
      </c>
      <c r="C8" s="6" t="s">
        <v>62</v>
      </c>
      <c r="D8" s="6" t="s">
        <v>63</v>
      </c>
      <c r="E8" s="6">
        <v>2019</v>
      </c>
      <c r="F8" s="6" t="s">
        <v>28</v>
      </c>
      <c r="G8" s="7" t="s">
        <v>64</v>
      </c>
      <c r="H8" s="5" t="s">
        <v>65</v>
      </c>
      <c r="I8" s="6" t="s">
        <v>66</v>
      </c>
      <c r="J8" s="6" t="s">
        <v>32</v>
      </c>
      <c r="K8" s="6">
        <f>VLOOKUP(Table1[[#This Row],[CAB SHORT NO.]],'[1]JULY 26'!$C$4:$N$47,4,0)</f>
        <v>105960</v>
      </c>
      <c r="L8" s="6">
        <f>VLOOKUP(Table1[[#This Row],[CAB SHORT NO.]],'[1]JULY 26'!$C$4:$N$47,5,0)</f>
        <v>109231</v>
      </c>
      <c r="M8" s="8">
        <f>Table1[[#This Row],[End Km]]-Table1[[#This Row],[Start Km]]</f>
        <v>3271</v>
      </c>
      <c r="N8" s="8">
        <f>VLOOKUP(Table1[[#This Row],[CAB SHORT NO.]],'[1]JULY 26'!$C$4:$N$47,12,0)</f>
        <v>11.851449275362318</v>
      </c>
      <c r="O8" s="9">
        <f>VLOOKUP(Table1[[#This Row],[CAB SHORT NO.]],'[1]JULY 26'!$C$4:$N$47,10,0)</f>
        <v>28419.72</v>
      </c>
      <c r="P8" s="9"/>
      <c r="Q8" s="9">
        <f>VLOOKUP(Table1[[#This Row],[VEHICLE NUMBER]],'[2]Border Tax and Fast Tag'!$B$4:$D$157,2,0)</f>
        <v>448</v>
      </c>
      <c r="R8" s="9">
        <f>VLOOKUP(Table1[[#This Row],[VEHICLE NUMBER]],'[2]Border Tax and Fast Tag'!$B$4:$D$157,3,0)</f>
        <v>8135</v>
      </c>
      <c r="S8" s="9">
        <f>VLOOKUP(Table1[[#This Row],[VEHICLE NUMBER]],'[2]Cab Rent'!$B$3:$C$156,2,0)</f>
        <v>0</v>
      </c>
      <c r="T8" s="9">
        <f>VLOOKUP(Table1[[#This Row],[EMP CODE]],[3]CTC!$D$8:$CM$56,88,0)</f>
        <v>35372.300000000003</v>
      </c>
      <c r="U8" s="9">
        <f>Table1[[#This Row],[FUEL EXPENSE]]+Table1[[#This Row],[VEHICLE MAINTENANCE]]+Table1[[#This Row],[STATE TAX]]+Table1[[#This Row],[FAST TAG/MCD/PARKING]]+Table1[[#This Row],[RENT &amp; DEPRECIATION]]+Table1[[#This Row],[CTC (Driver Salary/Cost)]]</f>
        <v>72375.02</v>
      </c>
      <c r="V8" s="9">
        <f>VLOOKUP(Table1[[#This Row],[VEHICLE NUMBER]],'[2]Gross Invoice Amt'!$B$3:$C$161,2,0)</f>
        <v>79807</v>
      </c>
      <c r="W8" s="9">
        <f>Table1[[#This Row],[HKI INVOICE AMT.]]-Table1[[#This Row],[TOTAL EXPENSE]]</f>
        <v>7431.9799999999959</v>
      </c>
      <c r="X8" s="9"/>
      <c r="Y8" s="10"/>
    </row>
    <row r="9" spans="1:25" ht="18">
      <c r="A9" s="24">
        <v>8</v>
      </c>
      <c r="B9" s="5" t="s">
        <v>67</v>
      </c>
      <c r="C9" s="6" t="s">
        <v>68</v>
      </c>
      <c r="D9" s="6" t="s">
        <v>35</v>
      </c>
      <c r="E9" s="6"/>
      <c r="F9" s="6" t="s">
        <v>69</v>
      </c>
      <c r="G9" s="7" t="s">
        <v>70</v>
      </c>
      <c r="H9" s="5" t="s">
        <v>71</v>
      </c>
      <c r="I9" s="6" t="s">
        <v>72</v>
      </c>
      <c r="J9" s="6" t="s">
        <v>32</v>
      </c>
      <c r="K9" s="6">
        <f>VLOOKUP(Table1[[#This Row],[CAB SHORT NO.]],'[1]JULY 26'!$C$4:$N$47,4,0)</f>
        <v>118018</v>
      </c>
      <c r="L9" s="6">
        <f>VLOOKUP(Table1[[#This Row],[CAB SHORT NO.]],'[1]JULY 26'!$C$4:$N$47,5,0)</f>
        <v>121419</v>
      </c>
      <c r="M9" s="8">
        <f>Table1[[#This Row],[End Km]]-Table1[[#This Row],[Start Km]]</f>
        <v>3401</v>
      </c>
      <c r="N9" s="8">
        <f>VLOOKUP(Table1[[#This Row],[CAB SHORT NO.]],'[1]JULY 26'!$C$4:$N$47,12,0)</f>
        <v>12.457875457875458</v>
      </c>
      <c r="O9" s="9">
        <f>VLOOKUP(Table1[[#This Row],[CAB SHORT NO.]],'[1]JULY 26'!$C$4:$N$47,10,0)</f>
        <v>25935</v>
      </c>
      <c r="P9" s="9">
        <v>700</v>
      </c>
      <c r="Q9" s="9">
        <f>VLOOKUP(Table1[[#This Row],[VEHICLE NUMBER]],'[2]Border Tax and Fast Tag'!$B$4:$D$157,2,0)</f>
        <v>6917</v>
      </c>
      <c r="R9" s="9">
        <f>VLOOKUP(Table1[[#This Row],[VEHICLE NUMBER]],'[2]Border Tax and Fast Tag'!$B$4:$D$157,3,0)</f>
        <v>4440</v>
      </c>
      <c r="S9" s="9">
        <f>VLOOKUP(Table1[[#This Row],[VEHICLE NUMBER]],'[2]Cab Rent'!$B$3:$C$156,2,0)</f>
        <v>54000</v>
      </c>
      <c r="T9" s="9">
        <f>VLOOKUP(Table1[[#This Row],[EMP CODE]],[3]CTC!$D$8:$CM$56,88,0)</f>
        <v>45708.05</v>
      </c>
      <c r="U9" s="9">
        <f>Table1[[#This Row],[FUEL EXPENSE]]+Table1[[#This Row],[VEHICLE MAINTENANCE]]+Table1[[#This Row],[STATE TAX]]+Table1[[#This Row],[FAST TAG/MCD/PARKING]]+Table1[[#This Row],[RENT &amp; DEPRECIATION]]+Table1[[#This Row],[CTC (Driver Salary/Cost)]]</f>
        <v>137700.04999999999</v>
      </c>
      <c r="V9" s="9">
        <f>VLOOKUP(Table1[[#This Row],[VEHICLE NUMBER]],'[2]Gross Invoice Amt'!$B$3:$C$161,2,0)</f>
        <v>165098</v>
      </c>
      <c r="W9" s="9">
        <f>Table1[[#This Row],[HKI INVOICE AMT.]]-Table1[[#This Row],[TOTAL EXPENSE]]</f>
        <v>27397.950000000012</v>
      </c>
      <c r="X9" s="9"/>
      <c r="Y9" s="10"/>
    </row>
    <row r="10" spans="1:25" ht="18">
      <c r="A10" s="24">
        <v>9</v>
      </c>
      <c r="B10" s="5" t="s">
        <v>73</v>
      </c>
      <c r="C10" s="6" t="s">
        <v>74</v>
      </c>
      <c r="D10" s="6" t="s">
        <v>75</v>
      </c>
      <c r="E10" s="6"/>
      <c r="F10" s="6" t="s">
        <v>69</v>
      </c>
      <c r="G10" s="7" t="s">
        <v>76</v>
      </c>
      <c r="H10" s="5" t="s">
        <v>77</v>
      </c>
      <c r="I10" s="6" t="s">
        <v>78</v>
      </c>
      <c r="J10" s="6" t="s">
        <v>32</v>
      </c>
      <c r="K10" s="6">
        <f>VLOOKUP(Table1[[#This Row],[CAB SHORT NO.]],'[1]JULY 26'!$C$4:$N$47,4,0)</f>
        <v>138717</v>
      </c>
      <c r="L10" s="6">
        <f>VLOOKUP(Table1[[#This Row],[CAB SHORT NO.]],'[1]JULY 26'!$C$4:$N$47,5,0)</f>
        <v>141278</v>
      </c>
      <c r="M10" s="8">
        <f>Table1[[#This Row],[End Km]]-Table1[[#This Row],[Start Km]]</f>
        <v>2561</v>
      </c>
      <c r="N10" s="8">
        <f>VLOOKUP(Table1[[#This Row],[CAB SHORT NO.]],'[1]JULY 26'!$C$4:$N$47,12,0)</f>
        <v>13.478947368421053</v>
      </c>
      <c r="O10" s="9">
        <f>VLOOKUP(Table1[[#This Row],[CAB SHORT NO.]],'[1]JULY 26'!$C$4:$N$47,10,0)</f>
        <v>19564.3</v>
      </c>
      <c r="P10" s="9">
        <v>570</v>
      </c>
      <c r="Q10" s="9">
        <f>VLOOKUP(Table1[[#This Row],[VEHICLE NUMBER]],'[2]Border Tax and Fast Tag'!$B$4:$D$157,2,0)</f>
        <v>7905</v>
      </c>
      <c r="R10" s="9">
        <f>VLOOKUP(Table1[[#This Row],[VEHICLE NUMBER]],'[2]Border Tax and Fast Tag'!$B$4:$D$157,3,0)</f>
        <v>0</v>
      </c>
      <c r="S10" s="9">
        <f>VLOOKUP(Table1[[#This Row],[VEHICLE NUMBER]],'[2]Cab Rent'!$B$3:$C$156,2,0)</f>
        <v>32000</v>
      </c>
      <c r="T10" s="9">
        <f>VLOOKUP(Table1[[#This Row],[EMP CODE]],[3]CTC!$D$8:$CM$56,88,0)</f>
        <v>6686.8271999999997</v>
      </c>
      <c r="U10" s="9">
        <f>Table1[[#This Row],[FUEL EXPENSE]]+Table1[[#This Row],[VEHICLE MAINTENANCE]]+Table1[[#This Row],[STATE TAX]]+Table1[[#This Row],[FAST TAG/MCD/PARKING]]+Table1[[#This Row],[RENT &amp; DEPRECIATION]]+Table1[[#This Row],[CTC (Driver Salary/Cost)]]</f>
        <v>66726.127200000003</v>
      </c>
      <c r="V10" s="9">
        <f>VLOOKUP(Table1[[#This Row],[VEHICLE NUMBER]],'[2]Gross Invoice Amt'!$B$3:$C$161,2,0)</f>
        <v>100616.67</v>
      </c>
      <c r="W10" s="9">
        <f>Table1[[#This Row],[HKI INVOICE AMT.]]-Table1[[#This Row],[TOTAL EXPENSE]]</f>
        <v>33890.542799999996</v>
      </c>
      <c r="X10" s="9"/>
      <c r="Y10" s="10"/>
    </row>
    <row r="11" spans="1:25" ht="18">
      <c r="A11" s="24">
        <v>10</v>
      </c>
      <c r="B11" s="5" t="s">
        <v>79</v>
      </c>
      <c r="C11" s="6" t="s">
        <v>80</v>
      </c>
      <c r="D11" s="6" t="s">
        <v>75</v>
      </c>
      <c r="E11" s="6"/>
      <c r="F11" s="6" t="s">
        <v>81</v>
      </c>
      <c r="G11" s="7" t="s">
        <v>82</v>
      </c>
      <c r="H11" s="6" t="s">
        <v>83</v>
      </c>
      <c r="I11" s="6" t="s">
        <v>78</v>
      </c>
      <c r="J11" s="6" t="s">
        <v>32</v>
      </c>
      <c r="K11" s="6">
        <f>VLOOKUP(Table1[[#This Row],[CAB SHORT NO.]],'[1]JULY 26'!$C$4:$N$47,4,0)</f>
        <v>72063</v>
      </c>
      <c r="L11" s="6">
        <f>VLOOKUP(Table1[[#This Row],[CAB SHORT NO.]],'[1]JULY 26'!$C$4:$N$47,5,0)</f>
        <v>75534</v>
      </c>
      <c r="M11" s="8">
        <f>Table1[[#This Row],[End Km]]-Table1[[#This Row],[Start Km]]</f>
        <v>3471</v>
      </c>
      <c r="N11" s="8">
        <f>VLOOKUP(Table1[[#This Row],[CAB SHORT NO.]],'[1]JULY 26'!$C$4:$N$47,12,0)</f>
        <v>11.886986301369863</v>
      </c>
      <c r="O11" s="9">
        <f>VLOOKUP(Table1[[#This Row],[CAB SHORT NO.]],'[1]JULY 26'!$C$4:$N$47,10,0)</f>
        <v>30067.239999999998</v>
      </c>
      <c r="P11" s="9">
        <v>240</v>
      </c>
      <c r="Q11" s="9">
        <f>VLOOKUP(Table1[[#This Row],[VEHICLE NUMBER]],'[2]Border Tax and Fast Tag'!$B$4:$D$157,2,0)</f>
        <v>0</v>
      </c>
      <c r="R11" s="9">
        <f>VLOOKUP(Table1[[#This Row],[VEHICLE NUMBER]],'[2]Border Tax and Fast Tag'!$B$4:$D$157,3,0)</f>
        <v>6095</v>
      </c>
      <c r="S11" s="9">
        <f>VLOOKUP(Table1[[#This Row],[VEHICLE NUMBER]],'[2]Cab Rent'!$B$3:$C$156,2,0)</f>
        <v>35297</v>
      </c>
      <c r="T11" s="9">
        <f>VLOOKUP(Table1[[#This Row],[EMP CODE]],[3]CTC!$D$8:$CM$56,88,0)</f>
        <v>47561.716666666674</v>
      </c>
      <c r="U11" s="9">
        <f>Table1[[#This Row],[FUEL EXPENSE]]+Table1[[#This Row],[VEHICLE MAINTENANCE]]+Table1[[#This Row],[STATE TAX]]+Table1[[#This Row],[FAST TAG/MCD/PARKING]]+Table1[[#This Row],[RENT &amp; DEPRECIATION]]+Table1[[#This Row],[CTC (Driver Salary/Cost)]]</f>
        <v>119260.95666666667</v>
      </c>
      <c r="V11" s="9">
        <f>VLOOKUP(Table1[[#This Row],[VEHICLE NUMBER]],'[2]Gross Invoice Amt'!$B$3:$C$161,2,0)</f>
        <v>109701</v>
      </c>
      <c r="W11" s="18"/>
      <c r="X11" s="9">
        <f>Table1[[#This Row],[HKI INVOICE AMT.]]-Table1[[#This Row],[TOTAL EXPENSE]]</f>
        <v>-9559.9566666666651</v>
      </c>
      <c r="Y11" s="10"/>
    </row>
    <row r="12" spans="1:25" ht="18">
      <c r="A12" s="24">
        <v>11</v>
      </c>
      <c r="B12" s="5" t="s">
        <v>84</v>
      </c>
      <c r="C12" s="6" t="s">
        <v>85</v>
      </c>
      <c r="D12" s="6" t="s">
        <v>35</v>
      </c>
      <c r="E12" s="6"/>
      <c r="F12" s="6" t="s">
        <v>86</v>
      </c>
      <c r="G12" s="7" t="s">
        <v>86</v>
      </c>
      <c r="H12" s="6" t="s">
        <v>87</v>
      </c>
      <c r="I12" s="6" t="s">
        <v>88</v>
      </c>
      <c r="J12" s="6" t="s">
        <v>32</v>
      </c>
      <c r="K12" s="6">
        <f>VLOOKUP(Table1[[#This Row],[CAB SHORT NO.]],'[1]JULY 26'!$C$4:$N$47,4,0)</f>
        <v>46136</v>
      </c>
      <c r="L12" s="6">
        <f>VLOOKUP(Table1[[#This Row],[CAB SHORT NO.]],'[1]JULY 26'!$C$4:$N$47,5,0)</f>
        <v>48585</v>
      </c>
      <c r="M12" s="8">
        <f>Table1[[#This Row],[End Km]]-Table1[[#This Row],[Start Km]]</f>
        <v>2449</v>
      </c>
      <c r="N12" s="8">
        <f>VLOOKUP(Table1[[#This Row],[CAB SHORT NO.]],'[1]JULY 26'!$C$4:$N$47,12,0)</f>
        <v>11.946341463414635</v>
      </c>
      <c r="O12" s="9">
        <f>VLOOKUP(Table1[[#This Row],[CAB SHORT NO.]],'[1]JULY 26'!$C$4:$N$47,10,0)</f>
        <v>19475</v>
      </c>
      <c r="P12" s="9"/>
      <c r="Q12" s="9">
        <f>VLOOKUP(Table1[[#This Row],[VEHICLE NUMBER]],'[2]Border Tax and Fast Tag'!$B$4:$D$157,2,0)</f>
        <v>672</v>
      </c>
      <c r="R12" s="9">
        <f>VLOOKUP(Table1[[#This Row],[VEHICLE NUMBER]],'[2]Border Tax and Fast Tag'!$B$4:$D$157,3,0)</f>
        <v>5810</v>
      </c>
      <c r="S12" s="9">
        <f>VLOOKUP(Table1[[#This Row],[VEHICLE NUMBER]],'[2]Cab Rent'!$B$3:$C$156,2,0)</f>
        <v>55000</v>
      </c>
      <c r="T12" s="9">
        <f>VLOOKUP(Table1[[#This Row],[EMP CODE]],[3]CTC!$D$8:$CM$56,88,0)</f>
        <v>33958.800000000003</v>
      </c>
      <c r="U12" s="9">
        <f>Table1[[#This Row],[FUEL EXPENSE]]+Table1[[#This Row],[VEHICLE MAINTENANCE]]+Table1[[#This Row],[STATE TAX]]+Table1[[#This Row],[FAST TAG/MCD/PARKING]]+Table1[[#This Row],[RENT &amp; DEPRECIATION]]+Table1[[#This Row],[CTC (Driver Salary/Cost)]]</f>
        <v>114915.8</v>
      </c>
      <c r="V12" s="9">
        <f>VLOOKUP(Table1[[#This Row],[VEHICLE NUMBER]],'[2]Gross Invoice Amt'!$B$3:$C$161,2,0)</f>
        <v>130672</v>
      </c>
      <c r="W12" s="9">
        <f>Table1[[#This Row],[HKI INVOICE AMT.]]-Table1[[#This Row],[TOTAL EXPENSE]]</f>
        <v>15756.199999999997</v>
      </c>
      <c r="X12" s="9"/>
      <c r="Y12" s="10"/>
    </row>
    <row r="13" spans="1:25" ht="18">
      <c r="A13" s="24">
        <v>12</v>
      </c>
      <c r="B13" s="5" t="s">
        <v>89</v>
      </c>
      <c r="C13" s="6" t="s">
        <v>90</v>
      </c>
      <c r="D13" s="6" t="s">
        <v>91</v>
      </c>
      <c r="E13" s="6"/>
      <c r="F13" s="6" t="s">
        <v>92</v>
      </c>
      <c r="G13" s="7" t="s">
        <v>93</v>
      </c>
      <c r="H13" s="5" t="s">
        <v>94</v>
      </c>
      <c r="I13" s="6" t="s">
        <v>43</v>
      </c>
      <c r="J13" s="6" t="s">
        <v>32</v>
      </c>
      <c r="K13" s="6">
        <f>VLOOKUP(Table1[[#This Row],[CAB SHORT NO.]],'[1]JULY 26'!$C$4:$N$47,4,0)</f>
        <v>45346</v>
      </c>
      <c r="L13" s="6">
        <f>VLOOKUP(Table1[[#This Row],[CAB SHORT NO.]],'[1]JULY 26'!$C$4:$N$47,5,0)</f>
        <v>47980</v>
      </c>
      <c r="M13" s="8">
        <f>Table1[[#This Row],[End Km]]-Table1[[#This Row],[Start Km]]</f>
        <v>2634</v>
      </c>
      <c r="N13" s="8">
        <f>VLOOKUP(Table1[[#This Row],[CAB SHORT NO.]],'[1]JULY 26'!$C$4:$N$47,12,0)</f>
        <v>12.366197183098592</v>
      </c>
      <c r="O13" s="9">
        <f>VLOOKUP(Table1[[#This Row],[CAB SHORT NO.]],'[1]JULY 26'!$C$4:$N$47,10,0)</f>
        <v>20874</v>
      </c>
      <c r="P13" s="9"/>
      <c r="Q13" s="9">
        <f>VLOOKUP(Table1[[#This Row],[VEHICLE NUMBER]],'[2]Border Tax and Fast Tag'!$B$4:$D$157,2,0)</f>
        <v>0</v>
      </c>
      <c r="R13" s="9">
        <f>VLOOKUP(Table1[[#This Row],[VEHICLE NUMBER]],'[2]Border Tax and Fast Tag'!$B$4:$D$157,3,0)</f>
        <v>1975</v>
      </c>
      <c r="S13" s="9">
        <f>VLOOKUP(Table1[[#This Row],[VEHICLE NUMBER]],'[2]Cab Rent'!$B$3:$C$156,2,0)</f>
        <v>55000</v>
      </c>
      <c r="T13" s="9">
        <f>VLOOKUP(Table1[[#This Row],[EMP CODE]],[3]CTC!$D$8:$CM$56,88,0)</f>
        <v>50719.3</v>
      </c>
      <c r="U13" s="9">
        <f>Table1[[#This Row],[FUEL EXPENSE]]+Table1[[#This Row],[VEHICLE MAINTENANCE]]+Table1[[#This Row],[STATE TAX]]+Table1[[#This Row],[FAST TAG/MCD/PARKING]]+Table1[[#This Row],[RENT &amp; DEPRECIATION]]+Table1[[#This Row],[CTC (Driver Salary/Cost)]]</f>
        <v>128568.3</v>
      </c>
      <c r="V13" s="9">
        <f>VLOOKUP(Table1[[#This Row],[VEHICLE NUMBER]],'[2]Gross Invoice Amt'!$B$3:$C$161,2,0)</f>
        <v>169900</v>
      </c>
      <c r="W13" s="9">
        <f>Table1[[#This Row],[HKI INVOICE AMT.]]-Table1[[#This Row],[TOTAL EXPENSE]]</f>
        <v>41331.699999999997</v>
      </c>
      <c r="X13" s="9"/>
      <c r="Y13" s="10"/>
    </row>
    <row r="14" spans="1:25" ht="18">
      <c r="A14" s="24">
        <v>13</v>
      </c>
      <c r="B14" s="5" t="s">
        <v>95</v>
      </c>
      <c r="C14" s="6" t="s">
        <v>96</v>
      </c>
      <c r="D14" s="6" t="s">
        <v>35</v>
      </c>
      <c r="E14" s="6"/>
      <c r="F14" s="6" t="s">
        <v>92</v>
      </c>
      <c r="G14" s="7" t="s">
        <v>97</v>
      </c>
      <c r="H14" s="5" t="s">
        <v>98</v>
      </c>
      <c r="I14" s="6" t="s">
        <v>88</v>
      </c>
      <c r="J14" s="6" t="s">
        <v>32</v>
      </c>
      <c r="K14" s="6">
        <f>VLOOKUP(Table1[[#This Row],[CAB SHORT NO.]],'[1]JULY 26'!$C$4:$N$47,4,0)</f>
        <v>59510</v>
      </c>
      <c r="L14" s="6">
        <f>VLOOKUP(Table1[[#This Row],[CAB SHORT NO.]],'[1]JULY 26'!$C$4:$N$47,5,0)</f>
        <v>63258</v>
      </c>
      <c r="M14" s="8">
        <f>Table1[[#This Row],[End Km]]-Table1[[#This Row],[Start Km]]</f>
        <v>3748</v>
      </c>
      <c r="N14" s="8">
        <f>VLOOKUP(Table1[[#This Row],[CAB SHORT NO.]],'[1]JULY 26'!$C$4:$N$47,12,0)</f>
        <v>11.936305732484076</v>
      </c>
      <c r="O14" s="9">
        <f>VLOOKUP(Table1[[#This Row],[CAB SHORT NO.]],'[1]JULY 26'!$C$4:$N$47,10,0)</f>
        <v>29830</v>
      </c>
      <c r="P14" s="9"/>
      <c r="Q14" s="9">
        <f>VLOOKUP(Table1[[#This Row],[VEHICLE NUMBER]],'[2]Border Tax and Fast Tag'!$B$4:$D$157,2,0)</f>
        <v>2016</v>
      </c>
      <c r="R14" s="9">
        <f>VLOOKUP(Table1[[#This Row],[VEHICLE NUMBER]],'[2]Border Tax and Fast Tag'!$B$4:$D$157,3,0)</f>
        <v>8310</v>
      </c>
      <c r="S14" s="9">
        <f>VLOOKUP(Table1[[#This Row],[VEHICLE NUMBER]],'[2]Cab Rent'!$B$3:$C$156,2,0)</f>
        <v>59540</v>
      </c>
      <c r="T14" s="9">
        <f>VLOOKUP(Table1[[#This Row],[EMP CODE]],[3]CTC!$D$8:$CM$56,88,0)</f>
        <v>39888.550000000003</v>
      </c>
      <c r="U14" s="9">
        <f>Table1[[#This Row],[FUEL EXPENSE]]+Table1[[#This Row],[VEHICLE MAINTENANCE]]+Table1[[#This Row],[STATE TAX]]+Table1[[#This Row],[FAST TAG/MCD/PARKING]]+Table1[[#This Row],[RENT &amp; DEPRECIATION]]+Table1[[#This Row],[CTC (Driver Salary/Cost)]]</f>
        <v>139584.54999999999</v>
      </c>
      <c r="V14" s="9">
        <f>VLOOKUP(Table1[[#This Row],[VEHICLE NUMBER]],'[2]Gross Invoice Amt'!$B$3:$C$161,2,0)</f>
        <v>171609.33</v>
      </c>
      <c r="W14" s="9">
        <f>Table1[[#This Row],[HKI INVOICE AMT.]]-Table1[[#This Row],[TOTAL EXPENSE]]</f>
        <v>32024.78</v>
      </c>
      <c r="X14" s="9"/>
      <c r="Y14" s="10"/>
    </row>
    <row r="15" spans="1:25" ht="18">
      <c r="A15" s="24">
        <v>14</v>
      </c>
      <c r="B15" s="13" t="s">
        <v>99</v>
      </c>
      <c r="C15" s="11" t="s">
        <v>100</v>
      </c>
      <c r="D15" s="11" t="s">
        <v>75</v>
      </c>
      <c r="E15" s="6"/>
      <c r="F15" s="11" t="s">
        <v>92</v>
      </c>
      <c r="G15" s="12" t="s">
        <v>101</v>
      </c>
      <c r="H15" s="13" t="s">
        <v>102</v>
      </c>
      <c r="I15" s="6" t="s">
        <v>49</v>
      </c>
      <c r="J15" s="6" t="s">
        <v>32</v>
      </c>
      <c r="K15" s="6">
        <f>VLOOKUP(Table1[[#This Row],[CAB SHORT NO.]],'[1]JULY 26'!$C$4:$N$47,4,0)</f>
        <v>80924</v>
      </c>
      <c r="L15" s="6">
        <f>VLOOKUP(Table1[[#This Row],[CAB SHORT NO.]],'[1]JULY 26'!$C$4:$N$47,5,0)</f>
        <v>84242</v>
      </c>
      <c r="M15" s="8">
        <f>Table1[[#This Row],[End Km]]-Table1[[#This Row],[Start Km]]</f>
        <v>3318</v>
      </c>
      <c r="N15" s="8">
        <f>VLOOKUP(Table1[[#This Row],[CAB SHORT NO.]],'[1]JULY 26'!$C$4:$N$47,12,0)</f>
        <v>12.910505836575876</v>
      </c>
      <c r="O15" s="9">
        <f>VLOOKUP(Table1[[#This Row],[CAB SHORT NO.]],'[1]JULY 26'!$C$4:$N$47,10,0)</f>
        <v>26463.29</v>
      </c>
      <c r="P15" s="9"/>
      <c r="Q15" s="9">
        <f>VLOOKUP(Table1[[#This Row],[VEHICLE NUMBER]],'[2]Border Tax and Fast Tag'!$B$4:$D$157,2,0)</f>
        <v>170</v>
      </c>
      <c r="R15" s="9">
        <f>VLOOKUP(Table1[[#This Row],[VEHICLE NUMBER]],'[2]Border Tax and Fast Tag'!$B$4:$D$157,3,0)</f>
        <v>6210</v>
      </c>
      <c r="S15" s="9">
        <f>VLOOKUP(Table1[[#This Row],[VEHICLE NUMBER]],'[2]Cab Rent'!$B$3:$C$156,2,0)</f>
        <v>0</v>
      </c>
      <c r="T15" s="9">
        <f>VLOOKUP(Table1[[#This Row],[EMP CODE]],[3]CTC!$D$8:$CM$56,88,0)</f>
        <v>49605.883333333339</v>
      </c>
      <c r="U15" s="9">
        <f>Table1[[#This Row],[FUEL EXPENSE]]+Table1[[#This Row],[VEHICLE MAINTENANCE]]+Table1[[#This Row],[STATE TAX]]+Table1[[#This Row],[FAST TAG/MCD/PARKING]]+Table1[[#This Row],[RENT &amp; DEPRECIATION]]+Table1[[#This Row],[CTC (Driver Salary/Cost)]]</f>
        <v>82449.17333333334</v>
      </c>
      <c r="V15" s="9">
        <f>VLOOKUP(Table1[[#This Row],[VEHICLE NUMBER]],'[2]Gross Invoice Amt'!$B$3:$C$161,2,0)</f>
        <v>126816.33</v>
      </c>
      <c r="W15" s="9">
        <f>Table1[[#This Row],[HKI INVOICE AMT.]]-Table1[[#This Row],[TOTAL EXPENSE]]</f>
        <v>44367.156666666662</v>
      </c>
      <c r="X15" s="9"/>
      <c r="Y15" s="10"/>
    </row>
    <row r="16" spans="1:25" ht="18">
      <c r="A16" s="24">
        <v>15</v>
      </c>
      <c r="B16" s="5" t="s">
        <v>103</v>
      </c>
      <c r="C16" s="6" t="s">
        <v>104</v>
      </c>
      <c r="D16" s="6" t="s">
        <v>75</v>
      </c>
      <c r="E16" s="6"/>
      <c r="F16" s="6" t="s">
        <v>92</v>
      </c>
      <c r="G16" s="7" t="s">
        <v>105</v>
      </c>
      <c r="H16" s="5" t="s">
        <v>106</v>
      </c>
      <c r="I16" s="6" t="s">
        <v>107</v>
      </c>
      <c r="J16" s="6" t="s">
        <v>32</v>
      </c>
      <c r="K16" s="6">
        <f>VLOOKUP(Table1[[#This Row],[CAB SHORT NO.]],'[1]JULY 26'!$C$4:$N$47,4,0)</f>
        <v>31642</v>
      </c>
      <c r="L16" s="6">
        <f>VLOOKUP(Table1[[#This Row],[CAB SHORT NO.]],'[1]JULY 26'!$C$4:$N$47,5,0)</f>
        <v>34130</v>
      </c>
      <c r="M16" s="8">
        <f>Table1[[#This Row],[End Km]]-Table1[[#This Row],[Start Km]]</f>
        <v>2488</v>
      </c>
      <c r="N16" s="8">
        <f>VLOOKUP(Table1[[#This Row],[CAB SHORT NO.]],'[1]JULY 26'!$C$4:$N$47,12,0)</f>
        <v>12.75897435897436</v>
      </c>
      <c r="O16" s="9">
        <f>VLOOKUP(Table1[[#This Row],[CAB SHORT NO.]],'[1]JULY 26'!$C$4:$N$47,10,0)</f>
        <v>20079.150000000001</v>
      </c>
      <c r="P16" s="9"/>
      <c r="Q16" s="9">
        <f>VLOOKUP(Table1[[#This Row],[VEHICLE NUMBER]],'[2]Border Tax and Fast Tag'!$B$4:$D$157,2,0)</f>
        <v>490</v>
      </c>
      <c r="R16" s="9">
        <f>VLOOKUP(Table1[[#This Row],[VEHICLE NUMBER]],'[2]Border Tax and Fast Tag'!$B$4:$D$157,3,0)</f>
        <v>5430</v>
      </c>
      <c r="S16" s="9">
        <f>VLOOKUP(Table1[[#This Row],[VEHICLE NUMBER]],'[2]Cab Rent'!$B$3:$C$156,2,0)</f>
        <v>35000</v>
      </c>
      <c r="T16" s="9">
        <f>VLOOKUP(Table1[[#This Row],[EMP CODE]],[3]CTC!$D$8:$CM$56,88,0)</f>
        <v>38853.066666666666</v>
      </c>
      <c r="U16" s="9">
        <f>Table1[[#This Row],[FUEL EXPENSE]]+Table1[[#This Row],[VEHICLE MAINTENANCE]]+Table1[[#This Row],[STATE TAX]]+Table1[[#This Row],[FAST TAG/MCD/PARKING]]+Table1[[#This Row],[RENT &amp; DEPRECIATION]]+Table1[[#This Row],[CTC (Driver Salary/Cost)]]</f>
        <v>99852.216666666674</v>
      </c>
      <c r="V16" s="9">
        <f>VLOOKUP(Table1[[#This Row],[VEHICLE NUMBER]],'[2]Gross Invoice Amt'!$B$3:$C$161,2,0)</f>
        <v>111480</v>
      </c>
      <c r="W16" s="9">
        <f>Table1[[#This Row],[HKI INVOICE AMT.]]-Table1[[#This Row],[TOTAL EXPENSE]]</f>
        <v>11627.783333333326</v>
      </c>
      <c r="X16" s="9"/>
      <c r="Y16" s="10"/>
    </row>
    <row r="17" spans="1:25" ht="18">
      <c r="A17" s="24">
        <v>16</v>
      </c>
      <c r="B17" s="5" t="s">
        <v>108</v>
      </c>
      <c r="C17" s="6" t="s">
        <v>109</v>
      </c>
      <c r="D17" s="6" t="s">
        <v>75</v>
      </c>
      <c r="E17" s="6"/>
      <c r="F17" s="6" t="s">
        <v>92</v>
      </c>
      <c r="G17" s="7" t="s">
        <v>110</v>
      </c>
      <c r="H17" s="5" t="s">
        <v>111</v>
      </c>
      <c r="I17" s="6" t="s">
        <v>107</v>
      </c>
      <c r="J17" s="6" t="s">
        <v>32</v>
      </c>
      <c r="K17" s="6">
        <f>VLOOKUP(Table1[[#This Row],[CAB SHORT NO.]],'[1]JULY 26'!$C$4:$N$47,4,0)</f>
        <v>31140</v>
      </c>
      <c r="L17" s="6">
        <f>VLOOKUP(Table1[[#This Row],[CAB SHORT NO.]],'[1]JULY 26'!$C$4:$N$47,5,0)</f>
        <v>33209</v>
      </c>
      <c r="M17" s="8">
        <f>Table1[[#This Row],[End Km]]-Table1[[#This Row],[Start Km]]</f>
        <v>2069</v>
      </c>
      <c r="N17" s="8">
        <f>VLOOKUP(Table1[[#This Row],[CAB SHORT NO.]],'[1]JULY 26'!$C$4:$N$47,12,0)</f>
        <v>11.244565217391305</v>
      </c>
      <c r="O17" s="9">
        <f>VLOOKUP(Table1[[#This Row],[CAB SHORT NO.]],'[1]JULY 26'!$C$4:$N$47,10,0)</f>
        <v>18946.48</v>
      </c>
      <c r="P17" s="9">
        <v>130</v>
      </c>
      <c r="Q17" s="9">
        <f>VLOOKUP(Table1[[#This Row],[VEHICLE NUMBER]],'[2]Border Tax and Fast Tag'!$B$4:$D$157,2,0)</f>
        <v>0</v>
      </c>
      <c r="R17" s="9">
        <f>VLOOKUP(Table1[[#This Row],[VEHICLE NUMBER]],'[2]Border Tax and Fast Tag'!$B$4:$D$157,3,0)</f>
        <v>4305</v>
      </c>
      <c r="S17" s="9">
        <f>VLOOKUP(Table1[[#This Row],[VEHICLE NUMBER]],'[2]Cab Rent'!$B$3:$C$156,2,0)</f>
        <v>35000</v>
      </c>
      <c r="T17" s="9">
        <f>VLOOKUP(Table1[[#This Row],[EMP CODE]],[3]CTC!$D$8:$CM$56,88,0)</f>
        <v>39352.633333333331</v>
      </c>
      <c r="U17" s="9">
        <f>Table1[[#This Row],[FUEL EXPENSE]]+Table1[[#This Row],[VEHICLE MAINTENANCE]]+Table1[[#This Row],[STATE TAX]]+Table1[[#This Row],[FAST TAG/MCD/PARKING]]+Table1[[#This Row],[RENT &amp; DEPRECIATION]]+Table1[[#This Row],[CTC (Driver Salary/Cost)]]</f>
        <v>97734.113333333327</v>
      </c>
      <c r="V17" s="9">
        <f>VLOOKUP(Table1[[#This Row],[VEHICLE NUMBER]],'[2]Gross Invoice Amt'!$B$3:$C$161,2,0)</f>
        <v>110905</v>
      </c>
      <c r="W17" s="9">
        <f>Table1[[#This Row],[HKI INVOICE AMT.]]-Table1[[#This Row],[TOTAL EXPENSE]]</f>
        <v>13170.886666666673</v>
      </c>
      <c r="X17" s="9"/>
      <c r="Y17" s="10"/>
    </row>
    <row r="18" spans="1:25" ht="18">
      <c r="A18" s="24">
        <v>17</v>
      </c>
      <c r="B18" s="5" t="s">
        <v>112</v>
      </c>
      <c r="C18" s="6" t="s">
        <v>113</v>
      </c>
      <c r="D18" s="6" t="s">
        <v>75</v>
      </c>
      <c r="E18" s="6"/>
      <c r="F18" s="6" t="s">
        <v>92</v>
      </c>
      <c r="G18" s="7" t="s">
        <v>114</v>
      </c>
      <c r="H18" s="6" t="s">
        <v>115</v>
      </c>
      <c r="I18" s="6" t="s">
        <v>116</v>
      </c>
      <c r="J18" s="6" t="s">
        <v>32</v>
      </c>
      <c r="K18" s="6">
        <f>VLOOKUP(Table1[[#This Row],[CAB SHORT NO.]],'[1]JULY 26'!$C$4:$N$47,4,0)</f>
        <v>47087</v>
      </c>
      <c r="L18" s="6">
        <f>VLOOKUP(Table1[[#This Row],[CAB SHORT NO.]],'[1]JULY 26'!$C$4:$N$47,5,0)</f>
        <v>48652</v>
      </c>
      <c r="M18" s="8">
        <f>Table1[[#This Row],[End Km]]-Table1[[#This Row],[Start Km]]</f>
        <v>1565</v>
      </c>
      <c r="N18" s="8">
        <f>VLOOKUP(Table1[[#This Row],[CAB SHORT NO.]],'[1]JULY 26'!$C$4:$N$47,12,0)</f>
        <v>11.592592592592593</v>
      </c>
      <c r="O18" s="9">
        <f>VLOOKUP(Table1[[#This Row],[CAB SHORT NO.]],'[1]JULY 26'!$C$4:$N$47,10,0)</f>
        <v>13900.95</v>
      </c>
      <c r="P18" s="9"/>
      <c r="Q18" s="9">
        <f>VLOOKUP(Table1[[#This Row],[VEHICLE NUMBER]],'[2]Border Tax and Fast Tag'!$B$4:$D$157,2,0)</f>
        <v>0</v>
      </c>
      <c r="R18" s="9">
        <f>VLOOKUP(Table1[[#This Row],[VEHICLE NUMBER]],'[2]Border Tax and Fast Tag'!$B$4:$D$157,3,0)</f>
        <v>930</v>
      </c>
      <c r="S18" s="9">
        <f>VLOOKUP(Table1[[#This Row],[VEHICLE NUMBER]],'[2]Cab Rent'!$B$3:$C$156,2,0)</f>
        <v>30000</v>
      </c>
      <c r="T18" s="9">
        <f>VLOOKUP(Table1[[#This Row],[EMP CODE]],[3]CTC!$D$8:$CM$56,88,0)</f>
        <v>48682.8</v>
      </c>
      <c r="U18" s="9">
        <f>Table1[[#This Row],[FUEL EXPENSE]]+Table1[[#This Row],[VEHICLE MAINTENANCE]]+Table1[[#This Row],[STATE TAX]]+Table1[[#This Row],[FAST TAG/MCD/PARKING]]+Table1[[#This Row],[RENT &amp; DEPRECIATION]]+Table1[[#This Row],[CTC (Driver Salary/Cost)]]</f>
        <v>93513.75</v>
      </c>
      <c r="V18" s="9">
        <f>VLOOKUP(Table1[[#This Row],[VEHICLE NUMBER]],'[2]Gross Invoice Amt'!$B$3:$C$161,2,0)</f>
        <v>104330</v>
      </c>
      <c r="W18" s="9">
        <f>Table1[[#This Row],[HKI INVOICE AMT.]]-Table1[[#This Row],[TOTAL EXPENSE]]</f>
        <v>10816.25</v>
      </c>
      <c r="X18" s="9"/>
      <c r="Y18" s="10"/>
    </row>
    <row r="19" spans="1:25" ht="18">
      <c r="A19" s="24">
        <v>18</v>
      </c>
      <c r="B19" s="5" t="s">
        <v>117</v>
      </c>
      <c r="C19" s="6" t="s">
        <v>118</v>
      </c>
      <c r="D19" s="6" t="s">
        <v>27</v>
      </c>
      <c r="E19" s="6"/>
      <c r="F19" s="6" t="s">
        <v>92</v>
      </c>
      <c r="G19" s="7" t="s">
        <v>119</v>
      </c>
      <c r="H19" s="5" t="s">
        <v>120</v>
      </c>
      <c r="I19" s="6" t="s">
        <v>121</v>
      </c>
      <c r="J19" s="6" t="s">
        <v>32</v>
      </c>
      <c r="K19" s="6">
        <f>VLOOKUP(Table1[[#This Row],[CAB SHORT NO.]],'[1]JULY 26'!$C$4:$N$47,4,0)</f>
        <v>70275</v>
      </c>
      <c r="L19" s="6">
        <f>VLOOKUP(Table1[[#This Row],[CAB SHORT NO.]],'[1]JULY 26'!$C$4:$N$47,5,0)</f>
        <v>70950</v>
      </c>
      <c r="M19" s="8">
        <f>Table1[[#This Row],[End Km]]-Table1[[#This Row],[Start Km]]</f>
        <v>675</v>
      </c>
      <c r="N19" s="8" t="e">
        <f>VLOOKUP(Table1[[#This Row],[CAB SHORT NO.]],'[1]JULY 26'!$C$4:$N$47,12,0)</f>
        <v>#DIV/0!</v>
      </c>
      <c r="O19" s="9">
        <f>VLOOKUP(Table1[[#This Row],[CAB SHORT NO.]],'[1]JULY 26'!$C$4:$N$47,10,0)</f>
        <v>0</v>
      </c>
      <c r="P19" s="9"/>
      <c r="Q19" s="9">
        <f>VLOOKUP(Table1[[#This Row],[VEHICLE NUMBER]],'[2]Border Tax and Fast Tag'!$B$4:$D$157,2,0)</f>
        <v>0</v>
      </c>
      <c r="R19" s="9">
        <f>VLOOKUP(Table1[[#This Row],[VEHICLE NUMBER]],'[2]Border Tax and Fast Tag'!$B$4:$D$157,3,0)</f>
        <v>985</v>
      </c>
      <c r="S19" s="9">
        <f>VLOOKUP(Table1[[#This Row],[VEHICLE NUMBER]],'[2]Cab Rent'!$B$3:$C$156,2,0)</f>
        <v>68000</v>
      </c>
      <c r="T19" s="9">
        <f>VLOOKUP(Table1[[#This Row],[EMP CODE]],[3]CTC!$D$8:$CM$56,88,0)</f>
        <v>32327.3</v>
      </c>
      <c r="U19" s="9">
        <f>Table1[[#This Row],[FUEL EXPENSE]]+Table1[[#This Row],[VEHICLE MAINTENANCE]]+Table1[[#This Row],[STATE TAX]]+Table1[[#This Row],[FAST TAG/MCD/PARKING]]+Table1[[#This Row],[RENT &amp; DEPRECIATION]]+Table1[[#This Row],[CTC (Driver Salary/Cost)]]</f>
        <v>101312.3</v>
      </c>
      <c r="V19" s="9">
        <f>VLOOKUP(Table1[[#This Row],[VEHICLE NUMBER]],'[2]Gross Invoice Amt'!$B$3:$C$161,2,0)</f>
        <v>108585</v>
      </c>
      <c r="W19" s="9">
        <f>Table1[[#This Row],[HKI INVOICE AMT.]]-Table1[[#This Row],[TOTAL EXPENSE]]</f>
        <v>7272.6999999999971</v>
      </c>
      <c r="X19" s="9"/>
      <c r="Y19" s="10"/>
    </row>
    <row r="20" spans="1:25" ht="18">
      <c r="A20" s="24">
        <v>19</v>
      </c>
      <c r="B20" s="5" t="s">
        <v>122</v>
      </c>
      <c r="C20" s="6" t="s">
        <v>123</v>
      </c>
      <c r="D20" s="6" t="s">
        <v>35</v>
      </c>
      <c r="E20" s="6"/>
      <c r="F20" s="6" t="s">
        <v>92</v>
      </c>
      <c r="G20" s="7" t="s">
        <v>124</v>
      </c>
      <c r="H20" s="5" t="s">
        <v>125</v>
      </c>
      <c r="I20" s="6" t="s">
        <v>72</v>
      </c>
      <c r="J20" s="6" t="s">
        <v>32</v>
      </c>
      <c r="K20" s="6">
        <f>VLOOKUP(Table1[[#This Row],[CAB SHORT NO.]],'[1]JULY 26'!$C$4:$N$47,4,0)</f>
        <v>56504</v>
      </c>
      <c r="L20" s="6">
        <f>VLOOKUP(Table1[[#This Row],[CAB SHORT NO.]],'[1]JULY 26'!$C$4:$N$47,5,0)</f>
        <v>57575</v>
      </c>
      <c r="M20" s="8">
        <f>Table1[[#This Row],[End Km]]-Table1[[#This Row],[Start Km]]</f>
        <v>1071</v>
      </c>
      <c r="N20" s="8">
        <f>VLOOKUP(Table1[[#This Row],[CAB SHORT NO.]],'[1]JULY 26'!$C$4:$N$47,12,0)</f>
        <v>10.5</v>
      </c>
      <c r="O20" s="9">
        <f>VLOOKUP(Table1[[#This Row],[CAB SHORT NO.]],'[1]JULY 26'!$C$4:$N$47,10,0)</f>
        <v>9690</v>
      </c>
      <c r="P20" s="9"/>
      <c r="Q20" s="9">
        <f>VLOOKUP(Table1[[#This Row],[VEHICLE NUMBER]],'[2]Border Tax and Fast Tag'!$B$4:$D$157,2,0)</f>
        <v>1791</v>
      </c>
      <c r="R20" s="9">
        <f>VLOOKUP(Table1[[#This Row],[VEHICLE NUMBER]],'[2]Border Tax and Fast Tag'!$B$4:$D$157,3,0)</f>
        <v>3295</v>
      </c>
      <c r="S20" s="9">
        <f>VLOOKUP(Table1[[#This Row],[VEHICLE NUMBER]],'[2]Cab Rent'!$B$3:$C$156,2,0)</f>
        <v>53000</v>
      </c>
      <c r="T20" s="9">
        <f>VLOOKUP(Table1[[#This Row],[EMP CODE]],[3]CTC!$D$8:$CM$56,88,0)</f>
        <v>35386.716666666667</v>
      </c>
      <c r="U20" s="9">
        <f>Table1[[#This Row],[FUEL EXPENSE]]+Table1[[#This Row],[VEHICLE MAINTENANCE]]+Table1[[#This Row],[STATE TAX]]+Table1[[#This Row],[FAST TAG/MCD/PARKING]]+Table1[[#This Row],[RENT &amp; DEPRECIATION]]+Table1[[#This Row],[CTC (Driver Salary/Cost)]]</f>
        <v>103162.71666666667</v>
      </c>
      <c r="V20" s="9">
        <f>VLOOKUP(Table1[[#This Row],[VEHICLE NUMBER]],'[2]Gross Invoice Amt'!$B$3:$C$161,2,0)</f>
        <v>132802</v>
      </c>
      <c r="W20" s="9">
        <f>Table1[[#This Row],[HKI INVOICE AMT.]]-Table1[[#This Row],[TOTAL EXPENSE]]</f>
        <v>29639.283333333326</v>
      </c>
      <c r="X20" s="9"/>
      <c r="Y20" s="10"/>
    </row>
    <row r="21" spans="1:25" ht="18">
      <c r="A21" s="24">
        <v>20</v>
      </c>
      <c r="B21" s="5" t="s">
        <v>126</v>
      </c>
      <c r="C21" s="6" t="s">
        <v>127</v>
      </c>
      <c r="D21" s="6" t="s">
        <v>35</v>
      </c>
      <c r="E21" s="6"/>
      <c r="F21" s="6" t="s">
        <v>128</v>
      </c>
      <c r="G21" s="7" t="s">
        <v>129</v>
      </c>
      <c r="H21" s="6" t="s">
        <v>130</v>
      </c>
      <c r="I21" s="6" t="s">
        <v>72</v>
      </c>
      <c r="J21" s="6" t="s">
        <v>32</v>
      </c>
      <c r="K21" s="6">
        <f>VLOOKUP(Table1[[#This Row],[CAB SHORT NO.]],'[1]JULY 26'!$C$4:$N$47,4,0)</f>
        <v>92708</v>
      </c>
      <c r="L21" s="6">
        <f>VLOOKUP(Table1[[#This Row],[CAB SHORT NO.]],'[1]JULY 26'!$C$4:$N$47,5,0)</f>
        <v>96509</v>
      </c>
      <c r="M21" s="8">
        <f>Table1[[#This Row],[End Km]]-Table1[[#This Row],[Start Km]]</f>
        <v>3801</v>
      </c>
      <c r="N21" s="8">
        <f>VLOOKUP(Table1[[#This Row],[CAB SHORT NO.]],'[1]JULY 26'!$C$4:$N$47,12,0)</f>
        <v>12.586092715231787</v>
      </c>
      <c r="O21" s="9">
        <f>VLOOKUP(Table1[[#This Row],[CAB SHORT NO.]],'[1]JULY 26'!$C$4:$N$47,10,0)</f>
        <v>28690</v>
      </c>
      <c r="P21" s="9">
        <v>100</v>
      </c>
      <c r="Q21" s="9">
        <f>VLOOKUP(Table1[[#This Row],[VEHICLE NUMBER]],'[2]Border Tax and Fast Tag'!$B$4:$D$157,2,0)</f>
        <v>6917</v>
      </c>
      <c r="R21" s="9">
        <f>VLOOKUP(Table1[[#This Row],[VEHICLE NUMBER]],'[2]Border Tax and Fast Tag'!$B$4:$D$157,3,0)</f>
        <v>8515</v>
      </c>
      <c r="S21" s="9">
        <f>VLOOKUP(Table1[[#This Row],[VEHICLE NUMBER]],'[2]Cab Rent'!$B$3:$C$156,2,0)</f>
        <v>62074</v>
      </c>
      <c r="T21" s="9">
        <f>VLOOKUP(Table1[[#This Row],[EMP CODE]],[3]CTC!$D$8:$CM$56,88,0)</f>
        <v>46534.000000000007</v>
      </c>
      <c r="U21" s="9">
        <f>Table1[[#This Row],[FUEL EXPENSE]]+Table1[[#This Row],[VEHICLE MAINTENANCE]]+Table1[[#This Row],[STATE TAX]]+Table1[[#This Row],[FAST TAG/MCD/PARKING]]+Table1[[#This Row],[RENT &amp; DEPRECIATION]]+Table1[[#This Row],[CTC (Driver Salary/Cost)]]</f>
        <v>152830</v>
      </c>
      <c r="V21" s="9">
        <f>VLOOKUP(Table1[[#This Row],[VEHICLE NUMBER]],'[2]Gross Invoice Amt'!$B$3:$C$161,2,0)</f>
        <v>176412.33</v>
      </c>
      <c r="W21" s="9">
        <f>Table1[[#This Row],[HKI INVOICE AMT.]]-Table1[[#This Row],[TOTAL EXPENSE]]</f>
        <v>23582.329999999987</v>
      </c>
      <c r="X21" s="9"/>
      <c r="Y21" s="10"/>
    </row>
    <row r="22" spans="1:25" ht="18">
      <c r="A22" s="24">
        <v>21</v>
      </c>
      <c r="B22" s="5" t="s">
        <v>131</v>
      </c>
      <c r="C22" s="6" t="s">
        <v>132</v>
      </c>
      <c r="D22" s="6" t="s">
        <v>133</v>
      </c>
      <c r="E22" s="6"/>
      <c r="F22" s="6" t="s">
        <v>128</v>
      </c>
      <c r="G22" s="7" t="s">
        <v>134</v>
      </c>
      <c r="H22" s="5" t="s">
        <v>135</v>
      </c>
      <c r="I22" s="6" t="s">
        <v>43</v>
      </c>
      <c r="J22" s="6" t="s">
        <v>32</v>
      </c>
      <c r="K22" s="6">
        <f>VLOOKUP(Table1[[#This Row],[CAB SHORT NO.]],'[1]JULY 26'!$C$4:$N$47,4,0)</f>
        <v>80819</v>
      </c>
      <c r="L22" s="6">
        <f>VLOOKUP(Table1[[#This Row],[CAB SHORT NO.]],'[1]JULY 26'!$C$4:$N$47,5,0)</f>
        <v>84825</v>
      </c>
      <c r="M22" s="8">
        <f>Table1[[#This Row],[End Km]]-Table1[[#This Row],[Start Km]]</f>
        <v>4006</v>
      </c>
      <c r="N22" s="8">
        <f>VLOOKUP(Table1[[#This Row],[CAB SHORT NO.]],'[1]JULY 26'!$C$4:$N$47,12,0)</f>
        <v>12.4797507788162</v>
      </c>
      <c r="O22" s="9">
        <f>VLOOKUP(Table1[[#This Row],[CAB SHORT NO.]],'[1]JULY 26'!$C$4:$N$47,10,0)</f>
        <v>28890</v>
      </c>
      <c r="P22" s="9"/>
      <c r="Q22" s="9">
        <f>VLOOKUP(Table1[[#This Row],[VEHICLE NUMBER]],'[2]Border Tax and Fast Tag'!$B$4:$D$157,2,0)</f>
        <v>0</v>
      </c>
      <c r="R22" s="9">
        <f>VLOOKUP(Table1[[#This Row],[VEHICLE NUMBER]],'[2]Border Tax and Fast Tag'!$B$4:$D$157,3,0)</f>
        <v>6250</v>
      </c>
      <c r="S22" s="9">
        <f>VLOOKUP(Table1[[#This Row],[VEHICLE NUMBER]],'[2]Cab Rent'!$B$3:$C$156,2,0)</f>
        <v>41054</v>
      </c>
      <c r="T22" s="9">
        <f>VLOOKUP(Table1[[#This Row],[EMP CODE]],[3]CTC!$D$8:$CM$56,88,0)</f>
        <v>59062.3</v>
      </c>
      <c r="U22" s="9">
        <f>Table1[[#This Row],[FUEL EXPENSE]]+Table1[[#This Row],[VEHICLE MAINTENANCE]]+Table1[[#This Row],[STATE TAX]]+Table1[[#This Row],[FAST TAG/MCD/PARKING]]+Table1[[#This Row],[RENT &amp; DEPRECIATION]]+Table1[[#This Row],[CTC (Driver Salary/Cost)]]</f>
        <v>135256.29999999999</v>
      </c>
      <c r="V22" s="9">
        <f>VLOOKUP(Table1[[#This Row],[VEHICLE NUMBER]],'[2]Gross Invoice Amt'!$B$3:$C$161,2,0)</f>
        <v>151018.67000000001</v>
      </c>
      <c r="W22" s="9">
        <f>Table1[[#This Row],[HKI INVOICE AMT.]]-Table1[[#This Row],[TOTAL EXPENSE]]</f>
        <v>15762.370000000024</v>
      </c>
      <c r="X22" s="9"/>
      <c r="Y22" s="10"/>
    </row>
    <row r="23" spans="1:25" ht="18">
      <c r="A23" s="24">
        <v>22</v>
      </c>
      <c r="B23" s="5" t="s">
        <v>136</v>
      </c>
      <c r="C23" s="6" t="s">
        <v>137</v>
      </c>
      <c r="D23" s="6" t="s">
        <v>138</v>
      </c>
      <c r="E23" s="6"/>
      <c r="F23" s="6" t="s">
        <v>128</v>
      </c>
      <c r="G23" s="7" t="s">
        <v>139</v>
      </c>
      <c r="H23" s="6" t="s">
        <v>140</v>
      </c>
      <c r="I23" s="6" t="s">
        <v>107</v>
      </c>
      <c r="J23" s="6" t="s">
        <v>32</v>
      </c>
      <c r="K23" s="6">
        <f>VLOOKUP(Table1[[#This Row],[CAB SHORT NO.]],'[1]JULY 26'!$C$4:$N$47,4,0)</f>
        <v>29126</v>
      </c>
      <c r="L23" s="6">
        <f>VLOOKUP(Table1[[#This Row],[CAB SHORT NO.]],'[1]JULY 26'!$C$4:$N$47,5,0)</f>
        <v>31122</v>
      </c>
      <c r="M23" s="8">
        <f>Table1[[#This Row],[End Km]]-Table1[[#This Row],[Start Km]]</f>
        <v>1996</v>
      </c>
      <c r="N23" s="8">
        <f>VLOOKUP(Table1[[#This Row],[CAB SHORT NO.]],'[1]JULY 26'!$C$4:$N$47,12,0)</f>
        <v>17.821428571428573</v>
      </c>
      <c r="O23" s="9">
        <f>VLOOKUP(Table1[[#This Row],[CAB SHORT NO.]],'[1]JULY 26'!$C$4:$N$47,10,0)</f>
        <v>11532.64</v>
      </c>
      <c r="P23" s="9">
        <v>140</v>
      </c>
      <c r="Q23" s="9">
        <f>VLOOKUP(Table1[[#This Row],[VEHICLE NUMBER]],'[2]Border Tax and Fast Tag'!$B$4:$D$157,2,0)</f>
        <v>0</v>
      </c>
      <c r="R23" s="9">
        <f>VLOOKUP(Table1[[#This Row],[VEHICLE NUMBER]],'[2]Border Tax and Fast Tag'!$B$4:$D$157,3,0)</f>
        <v>4175</v>
      </c>
      <c r="S23" s="9">
        <f>VLOOKUP(Table1[[#This Row],[VEHICLE NUMBER]],'[2]Cab Rent'!$B$3:$C$156,2,0)</f>
        <v>55000</v>
      </c>
      <c r="T23" s="9">
        <f>VLOOKUP(Table1[[#This Row],[EMP CODE]],[3]CTC!$D$8:$CM$56,88,0)</f>
        <v>38714.300000000003</v>
      </c>
      <c r="U23" s="9">
        <f>Table1[[#This Row],[FUEL EXPENSE]]+Table1[[#This Row],[VEHICLE MAINTENANCE]]+Table1[[#This Row],[STATE TAX]]+Table1[[#This Row],[FAST TAG/MCD/PARKING]]+Table1[[#This Row],[RENT &amp; DEPRECIATION]]+Table1[[#This Row],[CTC (Driver Salary/Cost)]]</f>
        <v>109561.94</v>
      </c>
      <c r="V23" s="9">
        <f>VLOOKUP(Table1[[#This Row],[VEHICLE NUMBER]],'[2]Gross Invoice Amt'!$B$3:$C$161,2,0)</f>
        <v>131350.67000000001</v>
      </c>
      <c r="W23" s="9">
        <f>Table1[[#This Row],[HKI INVOICE AMT.]]-Table1[[#This Row],[TOTAL EXPENSE]]</f>
        <v>21788.73000000001</v>
      </c>
      <c r="X23" s="9"/>
      <c r="Y23" s="10"/>
    </row>
    <row r="24" spans="1:25" ht="18">
      <c r="A24" s="24">
        <v>23</v>
      </c>
      <c r="B24" s="5" t="s">
        <v>141</v>
      </c>
      <c r="C24" s="6" t="s">
        <v>142</v>
      </c>
      <c r="D24" s="6" t="s">
        <v>75</v>
      </c>
      <c r="E24" s="6"/>
      <c r="F24" s="6" t="s">
        <v>128</v>
      </c>
      <c r="G24" s="7" t="s">
        <v>143</v>
      </c>
      <c r="H24" s="5" t="s">
        <v>144</v>
      </c>
      <c r="I24" s="6" t="s">
        <v>145</v>
      </c>
      <c r="J24" s="6" t="s">
        <v>32</v>
      </c>
      <c r="K24" s="6">
        <f>VLOOKUP(Table1[[#This Row],[CAB SHORT NO.]],'[1]JULY 26'!$C$4:$N$47,4,0)</f>
        <v>104520</v>
      </c>
      <c r="L24" s="6">
        <f>VLOOKUP(Table1[[#This Row],[CAB SHORT NO.]],'[1]JULY 26'!$C$4:$N$47,5,0)</f>
        <v>108500</v>
      </c>
      <c r="M24" s="8">
        <f>Table1[[#This Row],[End Km]]-Table1[[#This Row],[Start Km]]</f>
        <v>3980</v>
      </c>
      <c r="N24" s="8">
        <f>VLOOKUP(Table1[[#This Row],[CAB SHORT NO.]],'[1]JULY 26'!$C$4:$N$47,12,0)</f>
        <v>11.705882352941176</v>
      </c>
      <c r="O24" s="9">
        <f>VLOOKUP(Table1[[#This Row],[CAB SHORT NO.]],'[1]JULY 26'!$C$4:$N$47,10,0)</f>
        <v>35009.800000000003</v>
      </c>
      <c r="P24" s="9"/>
      <c r="Q24" s="9">
        <f>VLOOKUP(Table1[[#This Row],[VEHICLE NUMBER]],'[2]Border Tax and Fast Tag'!$B$4:$D$157,2,0)</f>
        <v>1530</v>
      </c>
      <c r="R24" s="9">
        <f>VLOOKUP(Table1[[#This Row],[VEHICLE NUMBER]],'[2]Border Tax and Fast Tag'!$B$4:$D$157,3,0)</f>
        <v>5440</v>
      </c>
      <c r="S24" s="9">
        <f>VLOOKUP(Table1[[#This Row],[VEHICLE NUMBER]],'[2]Cab Rent'!$B$3:$C$156,2,0)</f>
        <v>38020</v>
      </c>
      <c r="T24" s="9">
        <f>VLOOKUP(Table1[[#This Row],[EMP CODE]],[3]CTC!$D$8:$CM$56,88,0)</f>
        <v>30331.3</v>
      </c>
      <c r="U24" s="9">
        <f>Table1[[#This Row],[FUEL EXPENSE]]+Table1[[#This Row],[VEHICLE MAINTENANCE]]+Table1[[#This Row],[STATE TAX]]+Table1[[#This Row],[FAST TAG/MCD/PARKING]]+Table1[[#This Row],[RENT &amp; DEPRECIATION]]+Table1[[#This Row],[CTC (Driver Salary/Cost)]]</f>
        <v>110331.1</v>
      </c>
      <c r="V24" s="9">
        <f>VLOOKUP(Table1[[#This Row],[VEHICLE NUMBER]],'[2]Gross Invoice Amt'!$B$3:$C$161,2,0)</f>
        <v>111361</v>
      </c>
      <c r="W24" s="9">
        <f>Table1[[#This Row],[HKI INVOICE AMT.]]-Table1[[#This Row],[TOTAL EXPENSE]]</f>
        <v>1029.8999999999942</v>
      </c>
      <c r="X24" s="9"/>
      <c r="Y24" s="10"/>
    </row>
    <row r="25" spans="1:25" ht="18">
      <c r="A25" s="24">
        <v>24</v>
      </c>
      <c r="B25" s="5" t="s">
        <v>146</v>
      </c>
      <c r="C25" s="6" t="s">
        <v>147</v>
      </c>
      <c r="D25" s="6" t="s">
        <v>148</v>
      </c>
      <c r="E25" s="6"/>
      <c r="F25" s="6" t="s">
        <v>149</v>
      </c>
      <c r="G25" s="7" t="s">
        <v>150</v>
      </c>
      <c r="H25" s="5" t="s">
        <v>151</v>
      </c>
      <c r="I25" s="6" t="s">
        <v>43</v>
      </c>
      <c r="J25" s="6" t="s">
        <v>32</v>
      </c>
      <c r="K25" s="6">
        <v>0</v>
      </c>
      <c r="L25" s="6">
        <v>0</v>
      </c>
      <c r="M25" s="8">
        <v>0</v>
      </c>
      <c r="N25" s="8">
        <v>0</v>
      </c>
      <c r="O25" s="9">
        <v>0</v>
      </c>
      <c r="P25" s="9"/>
      <c r="Q25" s="9">
        <v>0</v>
      </c>
      <c r="R25" s="9">
        <v>0</v>
      </c>
      <c r="S25" s="9">
        <v>0</v>
      </c>
      <c r="T25" s="9">
        <f>VLOOKUP(Table1[[#This Row],[EMP CODE]],[3]CTC!$D$8:$CM$56,88,0)</f>
        <v>34091.300000000003</v>
      </c>
      <c r="U25" s="9">
        <f>Table1[[#This Row],[FUEL EXPENSE]]+Table1[[#This Row],[VEHICLE MAINTENANCE]]+Table1[[#This Row],[STATE TAX]]+Table1[[#This Row],[FAST TAG/MCD/PARKING]]+Table1[[#This Row],[RENT &amp; DEPRECIATION]]+Table1[[#This Row],[CTC (Driver Salary/Cost)]]</f>
        <v>34091.300000000003</v>
      </c>
      <c r="V25" s="9">
        <f>VLOOKUP(Table1[[#This Row],[VEHICLE NUMBER]],'[2]Gross Invoice Amt'!$B$3:$C$161,2,0)</f>
        <v>117937.33</v>
      </c>
      <c r="W25" s="9">
        <f>Table1[[#This Row],[HKI INVOICE AMT.]]-Table1[[#This Row],[TOTAL EXPENSE]]</f>
        <v>83846.03</v>
      </c>
      <c r="X25" s="9"/>
      <c r="Y25" s="10"/>
    </row>
    <row r="26" spans="1:25" ht="18">
      <c r="A26" s="24">
        <v>25</v>
      </c>
      <c r="B26" s="5" t="s">
        <v>203</v>
      </c>
      <c r="C26" s="6" t="s">
        <v>204</v>
      </c>
      <c r="D26" s="6" t="s">
        <v>35</v>
      </c>
      <c r="E26" s="6"/>
      <c r="F26" s="6" t="s">
        <v>69</v>
      </c>
      <c r="G26" s="6" t="s">
        <v>181</v>
      </c>
      <c r="H26" s="6" t="s">
        <v>182</v>
      </c>
      <c r="I26" s="6" t="s">
        <v>156</v>
      </c>
      <c r="J26" s="6" t="s">
        <v>32</v>
      </c>
      <c r="K26" s="6">
        <f>VLOOKUP(Table1[[#This Row],[CAB SHORT NO.]],'[1]JULY 26'!$C$4:$N$47,4,0)</f>
        <v>89405</v>
      </c>
      <c r="L26" s="6">
        <f>VLOOKUP(Table1[[#This Row],[CAB SHORT NO.]],'[1]JULY 26'!$C$4:$N$47,5,0)</f>
        <v>92212</v>
      </c>
      <c r="M26" s="8">
        <f>Table1[[#This Row],[End Km]]-Table1[[#This Row],[Start Km]]</f>
        <v>2807</v>
      </c>
      <c r="N26" s="8">
        <f>VLOOKUP(Table1[[#This Row],[CAB SHORT NO.]],'[1]JULY 26'!$C$4:$N$47,12,0)</f>
        <v>10.592452830188678</v>
      </c>
      <c r="O26" s="9">
        <f>VLOOKUP(Table1[[#This Row],[CAB SHORT NO.]],'[1]JULY 26'!$C$4:$N$47,10,0)</f>
        <v>25175</v>
      </c>
      <c r="P26" s="9">
        <v>510</v>
      </c>
      <c r="Q26" s="9">
        <f>VLOOKUP(Table1[[#This Row],[VEHICLE NUMBER]],'[2]Border Tax and Fast Tag'!$B$4:$D$157,2,0)</f>
        <v>10265</v>
      </c>
      <c r="R26" s="9">
        <f>VLOOKUP(Table1[[#This Row],[VEHICLE NUMBER]],'[2]Border Tax and Fast Tag'!$B$4:$D$157,3,0)</f>
        <v>2625</v>
      </c>
      <c r="S26" s="9">
        <f>VLOOKUP(Table1[[#This Row],[VEHICLE NUMBER]],'[2]Cab Rent'!$B$3:$C$156,2,0)</f>
        <v>51395</v>
      </c>
      <c r="T26" s="9">
        <f>VLOOKUP(Table1[[#This Row],[EMP CODE]],[3]CTC!$D$8:$CM$56,88,0)</f>
        <v>48686.8</v>
      </c>
      <c r="U26" s="9">
        <f>Table1[[#This Row],[FUEL EXPENSE]]+Table1[[#This Row],[VEHICLE MAINTENANCE]]+Table1[[#This Row],[STATE TAX]]+Table1[[#This Row],[FAST TAG/MCD/PARKING]]+Table1[[#This Row],[RENT &amp; DEPRECIATION]]+Table1[[#This Row],[CTC (Driver Salary/Cost)]]</f>
        <v>138656.79999999999</v>
      </c>
      <c r="V26" s="9">
        <f>VLOOKUP(Table1[[#This Row],[VEHICLE NUMBER]],'[2]Gross Invoice Amt'!$B$3:$C$161,2,0)</f>
        <v>193970</v>
      </c>
      <c r="W26" s="9">
        <f>Table1[[#This Row],[HKI INVOICE AMT.]]-Table1[[#This Row],[TOTAL EXPENSE]]</f>
        <v>55313.200000000012</v>
      </c>
      <c r="X26" s="9"/>
      <c r="Y26" s="10"/>
    </row>
    <row r="27" spans="1:25" ht="18">
      <c r="A27" s="24">
        <v>26</v>
      </c>
      <c r="B27" s="5" t="s">
        <v>157</v>
      </c>
      <c r="C27" s="6" t="s">
        <v>158</v>
      </c>
      <c r="D27" s="6" t="s">
        <v>52</v>
      </c>
      <c r="E27" s="6">
        <v>2026</v>
      </c>
      <c r="F27" s="6" t="s">
        <v>28</v>
      </c>
      <c r="G27" s="6" t="s">
        <v>159</v>
      </c>
      <c r="H27" s="6" t="s">
        <v>160</v>
      </c>
      <c r="I27" s="6" t="s">
        <v>161</v>
      </c>
      <c r="J27" s="6" t="s">
        <v>32</v>
      </c>
      <c r="K27" s="6">
        <f>VLOOKUP(Table1[[#This Row],[CAB SHORT NO.]],'[1]JULY 26'!$C$4:$N$47,4,0)</f>
        <v>1931</v>
      </c>
      <c r="L27" s="6">
        <f>VLOOKUP(Table1[[#This Row],[CAB SHORT NO.]],'[1]JULY 26'!$C$4:$N$47,5,0)</f>
        <v>3670</v>
      </c>
      <c r="M27" s="8">
        <f>Table1[[#This Row],[End Km]]-Table1[[#This Row],[Start Km]]</f>
        <v>1739</v>
      </c>
      <c r="N27" s="8">
        <f>VLOOKUP(Table1[[#This Row],[CAB SHORT NO.]],'[1]JULY 26'!$C$4:$N$47,12,0)</f>
        <v>10.351190476190476</v>
      </c>
      <c r="O27" s="9">
        <f>VLOOKUP(Table1[[#This Row],[CAB SHORT NO.]],'[1]JULY 26'!$C$4:$N$47,10,0)</f>
        <v>17298.96</v>
      </c>
      <c r="P27" s="9"/>
      <c r="Q27" s="9">
        <f>VLOOKUP(Table1[[#This Row],[VEHICLE NUMBER]],'[2]Border Tax and Fast Tag'!$B$4:$D$157,2,0)</f>
        <v>360</v>
      </c>
      <c r="R27" s="9">
        <f>VLOOKUP(Table1[[#This Row],[VEHICLE NUMBER]],'[2]Border Tax and Fast Tag'!$B$4:$D$157,3,0)</f>
        <v>3580</v>
      </c>
      <c r="S27" s="9">
        <v>46546</v>
      </c>
      <c r="T27" s="9">
        <f>VLOOKUP(Table1[[#This Row],[EMP CODE]],[3]CTC!$D$8:$CM$56,88,0)</f>
        <v>33394.300000000003</v>
      </c>
      <c r="U27" s="9">
        <f>Table1[[#This Row],[FUEL EXPENSE]]+Table1[[#This Row],[VEHICLE MAINTENANCE]]+Table1[[#This Row],[STATE TAX]]+Table1[[#This Row],[FAST TAG/MCD/PARKING]]+Table1[[#This Row],[RENT &amp; DEPRECIATION]]+Table1[[#This Row],[CTC (Driver Salary/Cost)]]</f>
        <v>101179.26</v>
      </c>
      <c r="V27" s="9">
        <f>VLOOKUP(Table1[[#This Row],[VEHICLE NUMBER]],'[2]Gross Invoice Amt'!$B$3:$C$161,2,0)</f>
        <v>117765</v>
      </c>
      <c r="W27" s="9">
        <f>Table1[[#This Row],[HKI INVOICE AMT.]]-Table1[[#This Row],[TOTAL EXPENSE]]</f>
        <v>16585.740000000005</v>
      </c>
      <c r="X27" s="9"/>
      <c r="Y27" s="10"/>
    </row>
    <row r="28" spans="1:25" ht="18">
      <c r="A28" s="24">
        <v>27</v>
      </c>
      <c r="B28" s="5" t="s">
        <v>162</v>
      </c>
      <c r="C28" s="6" t="s">
        <v>163</v>
      </c>
      <c r="D28" s="6" t="s">
        <v>75</v>
      </c>
      <c r="E28" s="6"/>
      <c r="F28" s="6" t="s">
        <v>92</v>
      </c>
      <c r="G28" s="6" t="s">
        <v>164</v>
      </c>
      <c r="H28" s="6">
        <v>1065</v>
      </c>
      <c r="I28" s="6" t="s">
        <v>235</v>
      </c>
      <c r="J28" s="6" t="s">
        <v>165</v>
      </c>
      <c r="K28" s="6">
        <f>VLOOKUP(Table1[[#This Row],[CAB SHORT NO.]],'[1]JULY 26'!$C$4:$N$47,4,0)</f>
        <v>141064</v>
      </c>
      <c r="L28" s="6">
        <f>VLOOKUP(Table1[[#This Row],[CAB SHORT NO.]],'[1]JULY 26'!$C$4:$N$47,5,0)</f>
        <v>144197</v>
      </c>
      <c r="M28" s="8">
        <v>8283</v>
      </c>
      <c r="N28" s="8">
        <f>VLOOKUP(Table1[[#This Row],[CAB SHORT NO.]],'[1]JULY 26'!$C$4:$N$47,12,0)</f>
        <v>11.392727272727273</v>
      </c>
      <c r="O28" s="9">
        <v>60491</v>
      </c>
      <c r="P28" s="9"/>
      <c r="Q28" s="9">
        <f>VLOOKUP(Table1[[#This Row],[VEHICLE NUMBER]],'[2]Border Tax and Fast Tag'!$B$4:$D$157,2,0)</f>
        <v>9690</v>
      </c>
      <c r="R28" s="9">
        <f>VLOOKUP(Table1[[#This Row],[VEHICLE NUMBER]],'[2]Border Tax and Fast Tag'!$B$4:$D$157,3,0)</f>
        <v>19375</v>
      </c>
      <c r="S28" s="9">
        <v>101064</v>
      </c>
      <c r="T28" s="9">
        <v>125542</v>
      </c>
      <c r="U28" s="9">
        <f>Table1[[#This Row],[FUEL EXPENSE]]+Table1[[#This Row],[VEHICLE MAINTENANCE]]+Table1[[#This Row],[STATE TAX]]+Table1[[#This Row],[FAST TAG/MCD/PARKING]]+Table1[[#This Row],[RENT &amp; DEPRECIATION]]+Table1[[#This Row],[CTC (Driver Salary/Cost)]]</f>
        <v>316162</v>
      </c>
      <c r="V28" s="9">
        <f>VLOOKUP(Table1[[#This Row],[VEHICLE NUMBER]],'[2]Gross Invoice Amt'!$B$3:$C$161,2,0)</f>
        <v>338386</v>
      </c>
      <c r="W28" s="9">
        <f>Table1[[#This Row],[HKI INVOICE AMT.]]-Table1[[#This Row],[TOTAL EXPENSE]]</f>
        <v>22224</v>
      </c>
      <c r="X28" s="9"/>
      <c r="Y28" s="10" t="s">
        <v>243</v>
      </c>
    </row>
    <row r="29" spans="1:25" ht="18">
      <c r="A29" s="24">
        <v>28</v>
      </c>
      <c r="B29" s="5" t="s">
        <v>166</v>
      </c>
      <c r="C29" s="6" t="s">
        <v>167</v>
      </c>
      <c r="D29" s="6" t="s">
        <v>35</v>
      </c>
      <c r="E29" s="6"/>
      <c r="F29" s="6" t="s">
        <v>92</v>
      </c>
      <c r="G29" s="6" t="s">
        <v>168</v>
      </c>
      <c r="H29" s="6" t="s">
        <v>169</v>
      </c>
      <c r="I29" s="6" t="s">
        <v>174</v>
      </c>
      <c r="J29" s="6" t="s">
        <v>165</v>
      </c>
      <c r="K29" s="6">
        <f>VLOOKUP(Table1[[#This Row],[CAB SHORT NO.]],'[1]JULY 26'!$C$4:$N$47,4,0)</f>
        <v>74896</v>
      </c>
      <c r="L29" s="6">
        <f>VLOOKUP(Table1[[#This Row],[CAB SHORT NO.]],'[1]JULY 26'!$C$4:$N$47,5,0)</f>
        <v>78682</v>
      </c>
      <c r="M29" s="8">
        <f>Table1[[#This Row],[End Km]]-Table1[[#This Row],[Start Km]]</f>
        <v>3786</v>
      </c>
      <c r="N29" s="8">
        <f>VLOOKUP(Table1[[#This Row],[CAB SHORT NO.]],'[1]JULY 26'!$C$4:$N$47,12,0)</f>
        <v>12.921501706484642</v>
      </c>
      <c r="O29" s="9">
        <f>VLOOKUP(Table1[[#This Row],[CAB SHORT NO.]],'[1]JULY 26'!$C$4:$N$47,10,0)</f>
        <v>27835</v>
      </c>
      <c r="P29" s="9">
        <v>99</v>
      </c>
      <c r="Q29" s="9">
        <f>VLOOKUP(Table1[[#This Row],[VEHICLE NUMBER]],'[2]Border Tax and Fast Tag'!$B$4:$D$157,2,0)</f>
        <v>0</v>
      </c>
      <c r="R29" s="9">
        <f>VLOOKUP(Table1[[#This Row],[VEHICLE NUMBER]],'[2]Border Tax and Fast Tag'!$B$4:$D$157,3,0)</f>
        <v>11370</v>
      </c>
      <c r="S29" s="9">
        <f>VLOOKUP(Table1[[#This Row],[VEHICLE NUMBER]],'[2]Cab Rent'!$B$3:$C$156,2,0)</f>
        <v>47860</v>
      </c>
      <c r="T29" s="9">
        <f>VLOOKUP(Table1[[#This Row],[EMP CODE]],[3]CTC!$D$8:$CM$56,88,0)</f>
        <v>49774.716666666667</v>
      </c>
      <c r="U29" s="9">
        <f>Table1[[#This Row],[FUEL EXPENSE]]+Table1[[#This Row],[VEHICLE MAINTENANCE]]+Table1[[#This Row],[STATE TAX]]+Table1[[#This Row],[FAST TAG/MCD/PARKING]]+Table1[[#This Row],[RENT &amp; DEPRECIATION]]+Table1[[#This Row],[CTC (Driver Salary/Cost)]]</f>
        <v>136938.71666666667</v>
      </c>
      <c r="V29" s="9">
        <f>VLOOKUP(Table1[[#This Row],[VEHICLE NUMBER]],'[2]Gross Invoice Amt'!$B$3:$C$161,2,0)</f>
        <v>222929.99</v>
      </c>
      <c r="W29" s="9">
        <f>Table1[[#This Row],[HKI INVOICE AMT.]]-Table1[[#This Row],[TOTAL EXPENSE]]</f>
        <v>85991.273333333316</v>
      </c>
      <c r="X29" s="9"/>
      <c r="Y29" s="10"/>
    </row>
    <row r="30" spans="1:25" ht="18">
      <c r="A30" s="24">
        <v>29</v>
      </c>
      <c r="B30" s="5" t="s">
        <v>170</v>
      </c>
      <c r="C30" s="6" t="s">
        <v>171</v>
      </c>
      <c r="D30" s="6" t="s">
        <v>91</v>
      </c>
      <c r="E30" s="6">
        <v>2018</v>
      </c>
      <c r="F30" s="6" t="s">
        <v>28</v>
      </c>
      <c r="G30" s="6" t="s">
        <v>172</v>
      </c>
      <c r="H30" s="6" t="s">
        <v>173</v>
      </c>
      <c r="I30" s="6" t="s">
        <v>174</v>
      </c>
      <c r="J30" s="6" t="s">
        <v>165</v>
      </c>
      <c r="K30" s="6">
        <f>VLOOKUP(Table1[[#This Row],[CAB SHORT NO.]],'[1]JULY 26'!$C$4:$N$47,4,0)</f>
        <v>222552</v>
      </c>
      <c r="L30" s="6">
        <f>VLOOKUP(Table1[[#This Row],[CAB SHORT NO.]],'[1]JULY 26'!$C$4:$N$47,5,0)</f>
        <v>225933</v>
      </c>
      <c r="M30" s="8">
        <f>Table1[[#This Row],[End Km]]-Table1[[#This Row],[Start Km]]</f>
        <v>3381</v>
      </c>
      <c r="N30" s="8">
        <f>VLOOKUP(Table1[[#This Row],[CAB SHORT NO.]],'[1]JULY 26'!$C$4:$N$47,12,0)</f>
        <v>8.473684210526315</v>
      </c>
      <c r="O30" s="9">
        <f>VLOOKUP(Table1[[#This Row],[CAB SHORT NO.]],'[1]JULY 26'!$C$4:$N$47,10,0)</f>
        <v>41085.03</v>
      </c>
      <c r="P30" s="9">
        <v>2440</v>
      </c>
      <c r="Q30" s="9">
        <f>VLOOKUP(Table1[[#This Row],[VEHICLE NUMBER]],'[2]Border Tax and Fast Tag'!$B$4:$D$157,2,0)</f>
        <v>0</v>
      </c>
      <c r="R30" s="9">
        <f>VLOOKUP(Table1[[#This Row],[VEHICLE NUMBER]],'[2]Border Tax and Fast Tag'!$B$4:$D$157,3,0)</f>
        <v>11784</v>
      </c>
      <c r="S30" s="9">
        <f>VLOOKUP(Table1[[#This Row],[VEHICLE NUMBER]],'[2]Cab Rent'!$B$3:$C$156,2,0)</f>
        <v>0</v>
      </c>
      <c r="T30" s="9">
        <f>VLOOKUP(Table1[[#This Row],[EMP CODE]],[3]CTC!$D$8:$CM$56,88,0)</f>
        <v>43084.466666666674</v>
      </c>
      <c r="U30" s="9">
        <f>Table1[[#This Row],[FUEL EXPENSE]]+Table1[[#This Row],[VEHICLE MAINTENANCE]]+Table1[[#This Row],[STATE TAX]]+Table1[[#This Row],[FAST TAG/MCD/PARKING]]+Table1[[#This Row],[RENT &amp; DEPRECIATION]]+Table1[[#This Row],[CTC (Driver Salary/Cost)]]</f>
        <v>98393.496666666673</v>
      </c>
      <c r="V30" s="9">
        <f>VLOOKUP(Table1[[#This Row],[VEHICLE NUMBER]],'[2]Gross Invoice Amt'!$B$3:$C$161,2,0)</f>
        <v>217239</v>
      </c>
      <c r="W30" s="9">
        <f>Table1[[#This Row],[HKI INVOICE AMT.]]-Table1[[#This Row],[TOTAL EXPENSE]]</f>
        <v>118845.50333333333</v>
      </c>
      <c r="X30" s="9"/>
      <c r="Y30" s="10"/>
    </row>
    <row r="31" spans="1:25" ht="18">
      <c r="A31" s="24">
        <v>30</v>
      </c>
      <c r="B31" s="5" t="s">
        <v>175</v>
      </c>
      <c r="C31" s="6" t="s">
        <v>176</v>
      </c>
      <c r="D31" s="6" t="s">
        <v>91</v>
      </c>
      <c r="E31" s="6">
        <v>2019</v>
      </c>
      <c r="F31" s="6" t="s">
        <v>28</v>
      </c>
      <c r="G31" s="6" t="s">
        <v>177</v>
      </c>
      <c r="H31" s="6" t="s">
        <v>178</v>
      </c>
      <c r="I31" s="6" t="s">
        <v>174</v>
      </c>
      <c r="J31" s="6" t="s">
        <v>165</v>
      </c>
      <c r="K31" s="6">
        <f>VLOOKUP(Table1[[#This Row],[CAB SHORT NO.]],'[1]JULY 26'!$C$4:$N$47,4,0)</f>
        <v>212844</v>
      </c>
      <c r="L31" s="6">
        <f>VLOOKUP(Table1[[#This Row],[CAB SHORT NO.]],'[1]JULY 26'!$C$4:$N$47,5,0)</f>
        <v>215599</v>
      </c>
      <c r="M31" s="8">
        <f>Table1[[#This Row],[End Km]]-Table1[[#This Row],[Start Km]]</f>
        <v>2755</v>
      </c>
      <c r="N31" s="8">
        <f>VLOOKUP(Table1[[#This Row],[CAB SHORT NO.]],'[1]JULY 26'!$C$4:$N$47,12,0)</f>
        <v>11.290983606557377</v>
      </c>
      <c r="O31" s="9">
        <f>VLOOKUP(Table1[[#This Row],[CAB SHORT NO.]],'[1]JULY 26'!$C$4:$N$47,10,0)</f>
        <v>23336.16</v>
      </c>
      <c r="P31" s="9">
        <v>170</v>
      </c>
      <c r="Q31" s="9">
        <f>VLOOKUP(Table1[[#This Row],[VEHICLE NUMBER]],'[2]Border Tax and Fast Tag'!$B$4:$D$157,2,0)</f>
        <v>4480</v>
      </c>
      <c r="R31" s="9">
        <f>VLOOKUP(Table1[[#This Row],[VEHICLE NUMBER]],'[2]Border Tax and Fast Tag'!$B$4:$D$157,3,0)</f>
        <v>6960</v>
      </c>
      <c r="S31" s="9">
        <f>VLOOKUP(Table1[[#This Row],[VEHICLE NUMBER]],'[2]Cab Rent'!$B$3:$C$156,2,0)</f>
        <v>0</v>
      </c>
      <c r="T31" s="9">
        <f>VLOOKUP(Table1[[#This Row],[EMP CODE]],[3]CTC!$D$8:$CM$56,88,0)</f>
        <v>43801.716666666674</v>
      </c>
      <c r="U31" s="9">
        <f>Table1[[#This Row],[FUEL EXPENSE]]+Table1[[#This Row],[VEHICLE MAINTENANCE]]+Table1[[#This Row],[STATE TAX]]+Table1[[#This Row],[FAST TAG/MCD/PARKING]]+Table1[[#This Row],[RENT &amp; DEPRECIATION]]+Table1[[#This Row],[CTC (Driver Salary/Cost)]]</f>
        <v>78747.876666666678</v>
      </c>
      <c r="V31" s="9">
        <f>VLOOKUP(Table1[[#This Row],[VEHICLE NUMBER]],'[2]Gross Invoice Amt'!$B$3:$C$161,2,0)</f>
        <v>193219.17</v>
      </c>
      <c r="W31" s="9">
        <f>Table1[[#This Row],[HKI INVOICE AMT.]]-Table1[[#This Row],[TOTAL EXPENSE]]</f>
        <v>114471.29333333333</v>
      </c>
      <c r="X31" s="9"/>
      <c r="Y31" s="10"/>
    </row>
    <row r="32" spans="1:25" ht="18">
      <c r="A32" s="24">
        <v>31</v>
      </c>
      <c r="B32" s="5" t="s">
        <v>179</v>
      </c>
      <c r="C32" s="6" t="s">
        <v>180</v>
      </c>
      <c r="D32" s="6" t="s">
        <v>63</v>
      </c>
      <c r="E32" s="6">
        <v>2019</v>
      </c>
      <c r="F32" s="6" t="s">
        <v>28</v>
      </c>
      <c r="G32" s="16" t="s">
        <v>194</v>
      </c>
      <c r="H32" s="17" t="s">
        <v>195</v>
      </c>
      <c r="I32" s="6" t="s">
        <v>236</v>
      </c>
      <c r="J32" s="6" t="s">
        <v>165</v>
      </c>
      <c r="K32" s="6">
        <f>VLOOKUP(Table1[[#This Row],[CAB SHORT NO.]],'[1]JULY 26'!$C$4:$N$47,4,0)</f>
        <v>158516</v>
      </c>
      <c r="L32" s="6">
        <f>VLOOKUP(Table1[[#This Row],[CAB SHORT NO.]],'[1]JULY 26'!$C$4:$N$47,5,0)</f>
        <v>161545</v>
      </c>
      <c r="M32" s="8">
        <f>Table1[[#This Row],[End Km]]-Table1[[#This Row],[Start Km]]</f>
        <v>3029</v>
      </c>
      <c r="N32" s="8">
        <f>VLOOKUP(Table1[[#This Row],[CAB SHORT NO.]],'[1]JULY 26'!$C$4:$N$47,12,0)</f>
        <v>11.014545454545454</v>
      </c>
      <c r="O32" s="9">
        <f>VLOOKUP(Table1[[#This Row],[CAB SHORT NO.]],'[1]JULY 26'!$C$4:$N$47,10,0)</f>
        <v>28316.75</v>
      </c>
      <c r="P32" s="9"/>
      <c r="Q32" s="9">
        <f>VLOOKUP(Table1[[#This Row],[VEHICLE NUMBER]],'[2]Border Tax and Fast Tag'!$B$4:$D$157,2,0)</f>
        <v>0</v>
      </c>
      <c r="R32" s="9">
        <f>VLOOKUP(Table1[[#This Row],[VEHICLE NUMBER]],'[2]Border Tax and Fast Tag'!$B$4:$D$157,3,0)</f>
        <v>5817</v>
      </c>
      <c r="S32" s="9">
        <f>VLOOKUP(Table1[[#This Row],[VEHICLE NUMBER]],'[2]Cab Rent'!$B$3:$C$156,2,0)</f>
        <v>0</v>
      </c>
      <c r="T32" s="9">
        <f>VLOOKUP(Table1[[#This Row],[EMP CODE]],[3]CTC!$D$8:$CM$56,88,0)</f>
        <v>43608.3</v>
      </c>
      <c r="U32" s="9">
        <f>Table1[[#This Row],[FUEL EXPENSE]]+Table1[[#This Row],[VEHICLE MAINTENANCE]]+Table1[[#This Row],[STATE TAX]]+Table1[[#This Row],[FAST TAG/MCD/PARKING]]+Table1[[#This Row],[RENT &amp; DEPRECIATION]]+Table1[[#This Row],[CTC (Driver Salary/Cost)]]</f>
        <v>77742.05</v>
      </c>
      <c r="V32" s="9">
        <f>VLOOKUP(Table1[[#This Row],[VEHICLE NUMBER]],'[2]Gross Invoice Amt'!$B$3:$C$161,2,0)</f>
        <v>74740.5</v>
      </c>
      <c r="W32" s="18"/>
      <c r="X32" s="9">
        <f>Table1[[#This Row],[HKI INVOICE AMT.]]-Table1[[#This Row],[TOTAL EXPENSE]]</f>
        <v>-3001.5500000000029</v>
      </c>
      <c r="Y32" s="10"/>
    </row>
    <row r="33" spans="1:25" ht="18">
      <c r="A33" s="24">
        <v>32</v>
      </c>
      <c r="B33" s="5" t="s">
        <v>183</v>
      </c>
      <c r="C33" s="6" t="s">
        <v>184</v>
      </c>
      <c r="D33" s="6" t="s">
        <v>91</v>
      </c>
      <c r="E33" s="6">
        <v>2019</v>
      </c>
      <c r="F33" s="6" t="s">
        <v>28</v>
      </c>
      <c r="G33" s="16" t="s">
        <v>185</v>
      </c>
      <c r="H33" s="17" t="s">
        <v>186</v>
      </c>
      <c r="I33" s="6" t="s">
        <v>174</v>
      </c>
      <c r="J33" s="6" t="s">
        <v>165</v>
      </c>
      <c r="K33" s="6">
        <f>VLOOKUP(Table1[[#This Row],[CAB SHORT NO.]],'[1]JULY 26'!$C$4:$N$47,4,0)</f>
        <v>179947</v>
      </c>
      <c r="L33" s="6">
        <f>VLOOKUP(Table1[[#This Row],[CAB SHORT NO.]],'[1]JULY 26'!$C$4:$N$47,5,0)</f>
        <v>182465</v>
      </c>
      <c r="M33" s="8">
        <f>Table1[[#This Row],[End Km]]-Table1[[#This Row],[Start Km]]</f>
        <v>2518</v>
      </c>
      <c r="N33" s="8">
        <f>VLOOKUP(Table1[[#This Row],[CAB SHORT NO.]],'[1]JULY 26'!$C$4:$N$47,12,0)</f>
        <v>7.4940476190476186</v>
      </c>
      <c r="O33" s="9">
        <f>VLOOKUP(Table1[[#This Row],[CAB SHORT NO.]],'[1]JULY 26'!$C$4:$N$47,10,0)</f>
        <v>34597.919999999998</v>
      </c>
      <c r="P33" s="9">
        <v>90</v>
      </c>
      <c r="Q33" s="9">
        <f>VLOOKUP(Table1[[#This Row],[VEHICLE NUMBER]],'[2]Border Tax and Fast Tag'!$B$4:$D$157,2,0)</f>
        <v>0</v>
      </c>
      <c r="R33" s="9">
        <f>VLOOKUP(Table1[[#This Row],[VEHICLE NUMBER]],'[2]Border Tax and Fast Tag'!$B$4:$D$157,3,0)</f>
        <v>2520</v>
      </c>
      <c r="S33" s="9">
        <f>VLOOKUP(Table1[[#This Row],[VEHICLE NUMBER]],'[2]Cab Rent'!$B$3:$C$156,2,0)</f>
        <v>0</v>
      </c>
      <c r="T33" s="9">
        <f>VLOOKUP(Table1[[#This Row],[EMP CODE]],[3]CTC!$D$8:$CM$56,88,0)</f>
        <v>43399.683333333334</v>
      </c>
      <c r="U33" s="9">
        <f>Table1[[#This Row],[FUEL EXPENSE]]+Table1[[#This Row],[VEHICLE MAINTENANCE]]+Table1[[#This Row],[STATE TAX]]+Table1[[#This Row],[FAST TAG/MCD/PARKING]]+Table1[[#This Row],[RENT &amp; DEPRECIATION]]+Table1[[#This Row],[CTC (Driver Salary/Cost)]]</f>
        <v>80607.603333333333</v>
      </c>
      <c r="V33" s="9">
        <f>VLOOKUP(Table1[[#This Row],[VEHICLE NUMBER]],'[2]Gross Invoice Amt'!$B$3:$C$161,2,0)</f>
        <v>94355.83</v>
      </c>
      <c r="W33" s="9">
        <f>Table1[[#This Row],[HKI INVOICE AMT.]]-Table1[[#This Row],[TOTAL EXPENSE]]</f>
        <v>13748.226666666669</v>
      </c>
      <c r="X33" s="9"/>
      <c r="Y33" s="10"/>
    </row>
    <row r="34" spans="1:25" ht="18">
      <c r="A34" s="24">
        <v>33</v>
      </c>
      <c r="B34" s="5" t="s">
        <v>187</v>
      </c>
      <c r="C34" s="6" t="s">
        <v>188</v>
      </c>
      <c r="D34" s="6" t="s">
        <v>46</v>
      </c>
      <c r="E34" s="6">
        <v>2018</v>
      </c>
      <c r="F34" s="6" t="s">
        <v>28</v>
      </c>
      <c r="G34" s="16" t="s">
        <v>154</v>
      </c>
      <c r="H34" s="16" t="s">
        <v>155</v>
      </c>
      <c r="I34" s="6"/>
      <c r="J34" s="6" t="s">
        <v>231</v>
      </c>
      <c r="K34" s="6">
        <f>VLOOKUP(Table1[[#This Row],[CAB SHORT NO.]],'[1]JULY 26'!$C$4:$N$47,4,0)</f>
        <v>101548</v>
      </c>
      <c r="L34" s="6">
        <f>VLOOKUP(Table1[[#This Row],[CAB SHORT NO.]],'[1]JULY 26'!$C$4:$N$47,5,0)</f>
        <v>103915</v>
      </c>
      <c r="M34" s="8">
        <f>Table1[[#This Row],[End Km]]-Table1[[#This Row],[Start Km]]</f>
        <v>2367</v>
      </c>
      <c r="N34" s="8">
        <f>VLOOKUP(Table1[[#This Row],[CAB SHORT NO.]],'[1]JULY 26'!$C$4:$N$47,12,0)</f>
        <v>9.7809917355371905</v>
      </c>
      <c r="O34" s="9">
        <f>VLOOKUP(Table1[[#This Row],[CAB SHORT NO.]],'[1]JULY 26'!$C$4:$N$47,10,0)</f>
        <v>24918.739999999998</v>
      </c>
      <c r="P34" s="9">
        <v>700</v>
      </c>
      <c r="Q34" s="9">
        <v>0</v>
      </c>
      <c r="R34" s="9">
        <v>2500</v>
      </c>
      <c r="S34" s="9">
        <v>0</v>
      </c>
      <c r="T34" s="9">
        <f>VLOOKUP(Table1[[#This Row],[EMP CODE]],[3]CTC!$D$8:$CM$56,88,0)</f>
        <v>42701.133333333339</v>
      </c>
      <c r="U34" s="9">
        <f>Table1[[#This Row],[FUEL EXPENSE]]+Table1[[#This Row],[VEHICLE MAINTENANCE]]+Table1[[#This Row],[STATE TAX]]+Table1[[#This Row],[FAST TAG/MCD/PARKING]]+Table1[[#This Row],[RENT &amp; DEPRECIATION]]+Table1[[#This Row],[CTC (Driver Salary/Cost)]]</f>
        <v>70819.873333333337</v>
      </c>
      <c r="V34" s="9">
        <v>48255</v>
      </c>
      <c r="W34" s="18"/>
      <c r="X34" s="9">
        <f>Table1[[#This Row],[HKI INVOICE AMT.]]-Table1[[#This Row],[TOTAL EXPENSE]]</f>
        <v>-22564.873333333337</v>
      </c>
      <c r="Y34" s="10" t="s">
        <v>232</v>
      </c>
    </row>
    <row r="35" spans="1:25" ht="18">
      <c r="A35" s="24">
        <v>34</v>
      </c>
      <c r="B35" s="5" t="s">
        <v>191</v>
      </c>
      <c r="C35" s="6" t="s">
        <v>192</v>
      </c>
      <c r="D35" s="6" t="s">
        <v>193</v>
      </c>
      <c r="E35" s="6">
        <v>2020</v>
      </c>
      <c r="F35" s="6" t="s">
        <v>28</v>
      </c>
      <c r="G35" s="16" t="s">
        <v>230</v>
      </c>
      <c r="H35" s="17" t="s">
        <v>234</v>
      </c>
      <c r="I35" s="6" t="s">
        <v>237</v>
      </c>
      <c r="J35" s="6" t="s">
        <v>231</v>
      </c>
      <c r="K35" s="6">
        <f>VLOOKUP(Table1[[#This Row],[CAB SHORT NO.]],'[1]JULY 26'!$C$4:$N$47,4,0)</f>
        <v>121269</v>
      </c>
      <c r="L35" s="6">
        <f>VLOOKUP(Table1[[#This Row],[CAB SHORT NO.]],'[1]JULY 26'!$C$4:$N$47,5,0)</f>
        <v>123125</v>
      </c>
      <c r="M35" s="8">
        <f>Table1[[#This Row],[End Km]]-Table1[[#This Row],[Start Km]]</f>
        <v>1856</v>
      </c>
      <c r="N35" s="8">
        <f>VLOOKUP(Table1[[#This Row],[CAB SHORT NO.]],'[1]JULY 26'!$C$4:$N$47,12,0)</f>
        <v>15.338842975206612</v>
      </c>
      <c r="O35" s="9">
        <f>VLOOKUP(Table1[[#This Row],[CAB SHORT NO.]],'[1]JULY 26'!$C$4:$N$47,10,0)</f>
        <v>12459.369999999999</v>
      </c>
      <c r="P35" s="9"/>
      <c r="Q35" s="9">
        <f>VLOOKUP(Table1[[#This Row],[VEHICLE NUMBER]],'[2]Border Tax and Fast Tag'!$B$4:$D$157,2,0)</f>
        <v>0</v>
      </c>
      <c r="R35" s="9">
        <f>VLOOKUP(Table1[[#This Row],[VEHICLE NUMBER]],'[2]Border Tax and Fast Tag'!$B$4:$D$157,3,0)</f>
        <v>2389</v>
      </c>
      <c r="S35" s="9">
        <f>VLOOKUP(Table1[[#This Row],[VEHICLE NUMBER]],'[2]Cab Rent'!$B$3:$C$156,2,0)</f>
        <v>0</v>
      </c>
      <c r="T35" s="9">
        <f>VLOOKUP(Table1[[#This Row],[EMP CODE]],[3]CTC!$D$8:$CM$56,88,0)</f>
        <v>35684.222799999996</v>
      </c>
      <c r="U35" s="9">
        <f>Table1[[#This Row],[FUEL EXPENSE]]+Table1[[#This Row],[VEHICLE MAINTENANCE]]+Table1[[#This Row],[STATE TAX]]+Table1[[#This Row],[FAST TAG/MCD/PARKING]]+Table1[[#This Row],[RENT &amp; DEPRECIATION]]+Table1[[#This Row],[CTC (Driver Salary/Cost)]]</f>
        <v>50532.592799999999</v>
      </c>
      <c r="V35" s="9">
        <f>VLOOKUP(Table1[[#This Row],[VEHICLE NUMBER]],'[2]Gross Invoice Amt'!$B$3:$C$161,2,0)</f>
        <v>17820</v>
      </c>
      <c r="W35" s="18"/>
      <c r="X35" s="9">
        <f>Table1[[#This Row],[HKI INVOICE AMT.]]-Table1[[#This Row],[TOTAL EXPENSE]]</f>
        <v>-32712.592799999999</v>
      </c>
      <c r="Y35" s="6" t="s">
        <v>231</v>
      </c>
    </row>
    <row r="36" spans="1:25" ht="18">
      <c r="A36" s="24">
        <v>35</v>
      </c>
      <c r="B36" s="5" t="s">
        <v>196</v>
      </c>
      <c r="C36" s="6" t="s">
        <v>197</v>
      </c>
      <c r="D36" s="6" t="s">
        <v>91</v>
      </c>
      <c r="E36" s="6"/>
      <c r="F36" s="6" t="s">
        <v>92</v>
      </c>
      <c r="G36" s="16" t="s">
        <v>198</v>
      </c>
      <c r="H36" s="16" t="s">
        <v>199</v>
      </c>
      <c r="I36" s="6" t="s">
        <v>238</v>
      </c>
      <c r="J36" s="6" t="s">
        <v>165</v>
      </c>
      <c r="K36" s="6">
        <f>VLOOKUP(Table1[[#This Row],[CAB SHORT NO.]],'[1]JULY 26'!$C$4:$N$47,4,0)</f>
        <v>69242</v>
      </c>
      <c r="L36" s="6">
        <f>VLOOKUP(Table1[[#This Row],[CAB SHORT NO.]],'[1]JULY 26'!$C$4:$N$47,5,0)</f>
        <v>71720</v>
      </c>
      <c r="M36" s="8">
        <f>Table1[[#This Row],[End Km]]-Table1[[#This Row],[Start Km]]</f>
        <v>2478</v>
      </c>
      <c r="N36" s="8">
        <f>VLOOKUP(Table1[[#This Row],[CAB SHORT NO.]],'[1]JULY 26'!$C$4:$N$47,12,0)</f>
        <v>13.251336898395722</v>
      </c>
      <c r="O36" s="9">
        <f>VLOOKUP(Table1[[#This Row],[CAB SHORT NO.]],'[1]JULY 26'!$C$4:$N$47,10,0)</f>
        <v>17765</v>
      </c>
      <c r="P36" s="9"/>
      <c r="Q36" s="9">
        <f>VLOOKUP(Table1[[#This Row],[VEHICLE NUMBER]],'[2]Border Tax and Fast Tag'!$B$4:$D$157,2,0)</f>
        <v>0</v>
      </c>
      <c r="R36" s="9">
        <f>VLOOKUP(Table1[[#This Row],[VEHICLE NUMBER]],'[2]Border Tax and Fast Tag'!$B$4:$D$157,3,0)</f>
        <v>10040</v>
      </c>
      <c r="S36" s="9">
        <f>VLOOKUP(Table1[[#This Row],[VEHICLE NUMBER]],'[2]Cab Rent'!$B$3:$C$156,2,0)</f>
        <v>53000</v>
      </c>
      <c r="T36" s="9">
        <f>VLOOKUP(Table1[[#This Row],[EMP CODE]],[3]CTC!$D$8:$CM$56,88,0)</f>
        <v>54757.8</v>
      </c>
      <c r="U36" s="9">
        <f>Table1[[#This Row],[FUEL EXPENSE]]+Table1[[#This Row],[VEHICLE MAINTENANCE]]+Table1[[#This Row],[STATE TAX]]+Table1[[#This Row],[FAST TAG/MCD/PARKING]]+Table1[[#This Row],[RENT &amp; DEPRECIATION]]+Table1[[#This Row],[CTC (Driver Salary/Cost)]]</f>
        <v>135562.79999999999</v>
      </c>
      <c r="V36" s="9">
        <f>VLOOKUP(Table1[[#This Row],[VEHICLE NUMBER]],'[2]Gross Invoice Amt'!$B$3:$C$161,2,0)</f>
        <v>152117.5</v>
      </c>
      <c r="W36" s="9">
        <f>Table1[[#This Row],[HKI INVOICE AMT.]]-Table1[[#This Row],[TOTAL EXPENSE]]</f>
        <v>16554.700000000012</v>
      </c>
      <c r="X36" s="9"/>
      <c r="Y36" s="10"/>
    </row>
    <row r="37" spans="1:25" ht="18">
      <c r="A37" s="24">
        <v>36</v>
      </c>
      <c r="B37" s="5" t="s">
        <v>200</v>
      </c>
      <c r="C37" s="6" t="s">
        <v>201</v>
      </c>
      <c r="D37" s="6" t="s">
        <v>63</v>
      </c>
      <c r="E37" s="6">
        <v>2017</v>
      </c>
      <c r="F37" s="6" t="s">
        <v>28</v>
      </c>
      <c r="G37" s="16" t="s">
        <v>189</v>
      </c>
      <c r="H37" s="16" t="s">
        <v>190</v>
      </c>
      <c r="I37" s="6" t="s">
        <v>239</v>
      </c>
      <c r="J37" s="6" t="s">
        <v>165</v>
      </c>
      <c r="K37" s="6">
        <f>VLOOKUP(Table1[[#This Row],[CAB SHORT NO.]],'[1]JULY 26'!$C$4:$N$47,4,0)</f>
        <v>220580</v>
      </c>
      <c r="L37" s="6">
        <f>VLOOKUP(Table1[[#This Row],[CAB SHORT NO.]],'[1]JULY 26'!$C$4:$N$47,5,0)</f>
        <v>223400</v>
      </c>
      <c r="M37" s="8">
        <f>Table1[[#This Row],[End Km]]-Table1[[#This Row],[Start Km]]</f>
        <v>2820</v>
      </c>
      <c r="N37" s="8">
        <f>VLOOKUP(Table1[[#This Row],[CAB SHORT NO.]],'[1]JULY 26'!$C$4:$N$47,12,0)</f>
        <v>9.7577854671280271</v>
      </c>
      <c r="O37" s="9">
        <f>VLOOKUP(Table1[[#This Row],[CAB SHORT NO.]],'[1]JULY 26'!$C$4:$N$47,10,0)</f>
        <v>29758.329999999998</v>
      </c>
      <c r="P37" s="9">
        <v>420</v>
      </c>
      <c r="Q37" s="9">
        <f>VLOOKUP(Table1[[#This Row],[VEHICLE NUMBER]],'[2]Border Tax and Fast Tag'!$B$4:$D$157,2,0)</f>
        <v>4241</v>
      </c>
      <c r="R37" s="9">
        <f>VLOOKUP(Table1[[#This Row],[VEHICLE NUMBER]],'[2]Border Tax and Fast Tag'!$B$4:$D$157,3,0)</f>
        <v>8630</v>
      </c>
      <c r="S37" s="9">
        <f>VLOOKUP(Table1[[#This Row],[VEHICLE NUMBER]],'[2]Cab Rent'!$B$3:$C$156,2,0)</f>
        <v>0</v>
      </c>
      <c r="T37" s="9">
        <f>VLOOKUP(Table1[[#This Row],[EMP CODE]],[3]CTC!$D$8:$CM$56,88,0)</f>
        <v>39938.133333333339</v>
      </c>
      <c r="U37" s="9">
        <f>Table1[[#This Row],[FUEL EXPENSE]]+Table1[[#This Row],[VEHICLE MAINTENANCE]]+Table1[[#This Row],[STATE TAX]]+Table1[[#This Row],[FAST TAG/MCD/PARKING]]+Table1[[#This Row],[RENT &amp; DEPRECIATION]]+Table1[[#This Row],[CTC (Driver Salary/Cost)]]</f>
        <v>82987.463333333348</v>
      </c>
      <c r="V37" s="9">
        <f>VLOOKUP(Table1[[#This Row],[VEHICLE NUMBER]],'[2]Gross Invoice Amt'!$B$3:$C$161,2,0)</f>
        <v>138919.66999999998</v>
      </c>
      <c r="W37" s="9">
        <f>Table1[[#This Row],[HKI INVOICE AMT.]]-Table1[[#This Row],[TOTAL EXPENSE]]</f>
        <v>55932.206666666636</v>
      </c>
      <c r="X37" s="9"/>
      <c r="Y37" s="10"/>
    </row>
    <row r="38" spans="1:25" ht="18">
      <c r="A38" s="24">
        <v>37</v>
      </c>
      <c r="B38" s="5" t="s">
        <v>152</v>
      </c>
      <c r="C38" s="6" t="s">
        <v>153</v>
      </c>
      <c r="D38" s="6" t="s">
        <v>35</v>
      </c>
      <c r="E38" s="6">
        <v>2020</v>
      </c>
      <c r="F38" s="6" t="s">
        <v>28</v>
      </c>
      <c r="G38" s="16" t="s">
        <v>205</v>
      </c>
      <c r="H38" s="16" t="s">
        <v>206</v>
      </c>
      <c r="I38" s="6" t="s">
        <v>240</v>
      </c>
      <c r="J38" s="6" t="s">
        <v>165</v>
      </c>
      <c r="K38" s="6">
        <f>VLOOKUP(Table1[[#This Row],[CAB SHORT NO.]],'[1]JULY 26'!$C$4:$N$47,4,0)</f>
        <v>218605</v>
      </c>
      <c r="L38" s="6">
        <f>VLOOKUP(Table1[[#This Row],[CAB SHORT NO.]],'[1]JULY 26'!$C$4:$N$47,5,0)</f>
        <v>222095</v>
      </c>
      <c r="M38" s="8">
        <f>Table1[[#This Row],[End Km]]-Table1[[#This Row],[Start Km]]</f>
        <v>3490</v>
      </c>
      <c r="N38" s="8">
        <f>VLOOKUP(Table1[[#This Row],[CAB SHORT NO.]],'[1]JULY 26'!$C$4:$N$47,12,0)</f>
        <v>11.480263157894736</v>
      </c>
      <c r="O38" s="9">
        <f>VLOOKUP(Table1[[#This Row],[CAB SHORT NO.]],'[1]JULY 26'!$C$4:$N$47,10,0)</f>
        <v>29074.560000000001</v>
      </c>
      <c r="P38" s="9">
        <v>99</v>
      </c>
      <c r="Q38" s="9">
        <f>VLOOKUP(Table1[[#This Row],[VEHICLE NUMBER]],'[2]Border Tax and Fast Tag'!$B$4:$D$157,2,0)</f>
        <v>0</v>
      </c>
      <c r="R38" s="9">
        <f>VLOOKUP(Table1[[#This Row],[VEHICLE NUMBER]],'[2]Border Tax and Fast Tag'!$B$4:$D$157,3,0)</f>
        <v>11122</v>
      </c>
      <c r="S38" s="9">
        <f>VLOOKUP(Table1[[#This Row],[VEHICLE NUMBER]],'[2]Cab Rent'!$B$3:$C$156,2,0)</f>
        <v>0</v>
      </c>
      <c r="T38" s="9">
        <f>VLOOKUP(Table1[[#This Row],[EMP CODE]],[3]CTC!$D$8:$CM$56,88,0)</f>
        <v>39520.300000000003</v>
      </c>
      <c r="U38" s="9">
        <f>Table1[[#This Row],[FUEL EXPENSE]]+Table1[[#This Row],[VEHICLE MAINTENANCE]]+Table1[[#This Row],[STATE TAX]]+Table1[[#This Row],[FAST TAG/MCD/PARKING]]+Table1[[#This Row],[RENT &amp; DEPRECIATION]]+Table1[[#This Row],[CTC (Driver Salary/Cost)]]</f>
        <v>79815.86</v>
      </c>
      <c r="V38" s="9">
        <f>VLOOKUP(Table1[[#This Row],[VEHICLE NUMBER]],'[2]Gross Invoice Amt'!$B$3:$C$161,2,0)</f>
        <v>199913.66999999998</v>
      </c>
      <c r="W38" s="9">
        <f>Table1[[#This Row],[HKI INVOICE AMT.]]-Table1[[#This Row],[TOTAL EXPENSE]]</f>
        <v>120097.80999999998</v>
      </c>
      <c r="X38" s="9"/>
      <c r="Y38" s="10"/>
    </row>
    <row r="39" spans="1:25" ht="18">
      <c r="A39" s="24">
        <v>38</v>
      </c>
      <c r="B39" s="5" t="s">
        <v>207</v>
      </c>
      <c r="C39" s="6" t="s">
        <v>208</v>
      </c>
      <c r="D39" s="6"/>
      <c r="E39" s="6"/>
      <c r="F39" s="6"/>
      <c r="G39" s="6" t="s">
        <v>209</v>
      </c>
      <c r="H39" s="6" t="s">
        <v>210</v>
      </c>
      <c r="I39" s="6"/>
      <c r="J39" s="6"/>
      <c r="K39" s="6">
        <v>0</v>
      </c>
      <c r="L39" s="6">
        <v>0</v>
      </c>
      <c r="M39" s="8">
        <v>0</v>
      </c>
      <c r="N39" s="8">
        <v>0</v>
      </c>
      <c r="O39" s="9">
        <v>0</v>
      </c>
      <c r="P39" s="9"/>
      <c r="Q39" s="9">
        <v>0</v>
      </c>
      <c r="R39" s="9">
        <v>0</v>
      </c>
      <c r="S39" s="9">
        <v>0</v>
      </c>
      <c r="T39" s="9">
        <f>VLOOKUP(Table1[[#This Row],[EMP CODE]],[3]CTC!$D$8:$CM$56,88,0)</f>
        <v>47334.919133333337</v>
      </c>
      <c r="U39" s="9">
        <f>Table1[[#This Row],[FUEL EXPENSE]]+Table1[[#This Row],[VEHICLE MAINTENANCE]]+Table1[[#This Row],[STATE TAX]]+Table1[[#This Row],[FAST TAG/MCD/PARKING]]+Table1[[#This Row],[RENT &amp; DEPRECIATION]]+Table1[[#This Row],[CTC (Driver Salary/Cost)]]</f>
        <v>47334.919133333337</v>
      </c>
      <c r="V39" s="9">
        <v>54279</v>
      </c>
      <c r="W39" s="9">
        <f>Table1[[#This Row],[HKI INVOICE AMT.]]-Table1[[#This Row],[TOTAL EXPENSE]]</f>
        <v>6944.0808666666635</v>
      </c>
      <c r="X39" s="9"/>
      <c r="Y39" s="10"/>
    </row>
    <row r="40" spans="1:25" ht="18">
      <c r="A40" s="24">
        <v>39</v>
      </c>
      <c r="B40" s="5" t="s">
        <v>207</v>
      </c>
      <c r="C40" s="6" t="s">
        <v>211</v>
      </c>
      <c r="D40" s="6"/>
      <c r="E40" s="6"/>
      <c r="F40" s="6"/>
      <c r="G40" s="6" t="s">
        <v>212</v>
      </c>
      <c r="H40" s="6" t="s">
        <v>213</v>
      </c>
      <c r="I40" s="6"/>
      <c r="J40" s="6"/>
      <c r="K40" s="6">
        <v>0</v>
      </c>
      <c r="L40" s="6">
        <v>0</v>
      </c>
      <c r="M40" s="8">
        <v>0</v>
      </c>
      <c r="N40" s="8">
        <v>0</v>
      </c>
      <c r="O40" s="9">
        <v>0</v>
      </c>
      <c r="P40" s="9"/>
      <c r="Q40" s="9">
        <v>0</v>
      </c>
      <c r="R40" s="9">
        <v>0</v>
      </c>
      <c r="S40" s="9">
        <v>0</v>
      </c>
      <c r="T40" s="9">
        <f>VLOOKUP(Table1[[#This Row],[EMP CODE]],[3]CTC!$D$8:$CM$56,88,0)</f>
        <v>45575.233333333337</v>
      </c>
      <c r="U40" s="9">
        <f>Table1[[#This Row],[FUEL EXPENSE]]+Table1[[#This Row],[VEHICLE MAINTENANCE]]+Table1[[#This Row],[STATE TAX]]+Table1[[#This Row],[FAST TAG/MCD/PARKING]]+Table1[[#This Row],[RENT &amp; DEPRECIATION]]+Table1[[#This Row],[CTC (Driver Salary/Cost)]]</f>
        <v>45575.233333333337</v>
      </c>
      <c r="V40" s="9">
        <v>56614</v>
      </c>
      <c r="W40" s="9">
        <f>Table1[[#This Row],[HKI INVOICE AMT.]]-Table1[[#This Row],[TOTAL EXPENSE]]</f>
        <v>11038.766666666663</v>
      </c>
      <c r="X40" s="9"/>
      <c r="Y40" s="10"/>
    </row>
    <row r="41" spans="1:25" ht="18">
      <c r="A41" s="24">
        <v>40</v>
      </c>
      <c r="B41" s="5" t="s">
        <v>207</v>
      </c>
      <c r="C41" s="6" t="s">
        <v>214</v>
      </c>
      <c r="D41" s="6"/>
      <c r="E41" s="6"/>
      <c r="F41" s="6"/>
      <c r="G41" s="6" t="s">
        <v>215</v>
      </c>
      <c r="H41" s="6" t="s">
        <v>216</v>
      </c>
      <c r="I41" s="6"/>
      <c r="J41" s="6"/>
      <c r="K41" s="6">
        <v>0</v>
      </c>
      <c r="L41" s="6">
        <v>0</v>
      </c>
      <c r="M41" s="8">
        <v>0</v>
      </c>
      <c r="N41" s="8">
        <v>0</v>
      </c>
      <c r="O41" s="9">
        <v>0</v>
      </c>
      <c r="P41" s="9"/>
      <c r="Q41" s="9">
        <v>0</v>
      </c>
      <c r="R41" s="9">
        <v>0</v>
      </c>
      <c r="S41" s="9">
        <v>0</v>
      </c>
      <c r="T41" s="9">
        <f>VLOOKUP(Table1[[#This Row],[EMP CODE]],[3]CTC!$D$8:$CM$56,88,0)</f>
        <v>42058.3</v>
      </c>
      <c r="U41" s="9">
        <f>Table1[[#This Row],[FUEL EXPENSE]]+Table1[[#This Row],[VEHICLE MAINTENANCE]]+Table1[[#This Row],[STATE TAX]]+Table1[[#This Row],[FAST TAG/MCD/PARKING]]+Table1[[#This Row],[RENT &amp; DEPRECIATION]]+Table1[[#This Row],[CTC (Driver Salary/Cost)]]</f>
        <v>42058.3</v>
      </c>
      <c r="V41" s="9">
        <v>46977</v>
      </c>
      <c r="W41" s="9">
        <f>Table1[[#This Row],[HKI INVOICE AMT.]]-Table1[[#This Row],[TOTAL EXPENSE]]</f>
        <v>4918.6999999999971</v>
      </c>
      <c r="X41" s="9"/>
      <c r="Y41" s="10"/>
    </row>
    <row r="42" spans="1:25" ht="18">
      <c r="A42" s="24">
        <v>41</v>
      </c>
      <c r="B42" s="5" t="s">
        <v>207</v>
      </c>
      <c r="C42" s="6" t="s">
        <v>217</v>
      </c>
      <c r="D42" s="6"/>
      <c r="E42" s="6"/>
      <c r="F42" s="6"/>
      <c r="G42" s="6" t="s">
        <v>218</v>
      </c>
      <c r="H42" s="6" t="s">
        <v>219</v>
      </c>
      <c r="I42" s="6"/>
      <c r="J42" s="6"/>
      <c r="K42" s="6">
        <v>0</v>
      </c>
      <c r="L42" s="6">
        <v>0</v>
      </c>
      <c r="M42" s="8">
        <v>0</v>
      </c>
      <c r="N42" s="8">
        <v>0</v>
      </c>
      <c r="O42" s="9">
        <v>0</v>
      </c>
      <c r="P42" s="9"/>
      <c r="Q42" s="9">
        <v>0</v>
      </c>
      <c r="R42" s="9">
        <v>0</v>
      </c>
      <c r="S42" s="9">
        <v>0</v>
      </c>
      <c r="T42" s="9">
        <f>VLOOKUP(Table1[[#This Row],[EMP CODE]],[3]CTC!$D$8:$CM$56,88,0)</f>
        <v>42467.55</v>
      </c>
      <c r="U42" s="9">
        <f>Table1[[#This Row],[FUEL EXPENSE]]+Table1[[#This Row],[VEHICLE MAINTENANCE]]+Table1[[#This Row],[STATE TAX]]+Table1[[#This Row],[FAST TAG/MCD/PARKING]]+Table1[[#This Row],[RENT &amp; DEPRECIATION]]+Table1[[#This Row],[CTC (Driver Salary/Cost)]]</f>
        <v>42467.55</v>
      </c>
      <c r="V42" s="9">
        <v>54893</v>
      </c>
      <c r="W42" s="9">
        <f>Table1[[#This Row],[HKI INVOICE AMT.]]-Table1[[#This Row],[TOTAL EXPENSE]]</f>
        <v>12425.449999999997</v>
      </c>
      <c r="X42" s="9"/>
      <c r="Y42" s="10"/>
    </row>
    <row r="43" spans="1:25" ht="18">
      <c r="A43" s="24">
        <v>42</v>
      </c>
      <c r="B43" s="5" t="s">
        <v>220</v>
      </c>
      <c r="C43" s="6" t="s">
        <v>221</v>
      </c>
      <c r="D43" s="6" t="s">
        <v>91</v>
      </c>
      <c r="E43" s="6"/>
      <c r="F43" s="6" t="s">
        <v>28</v>
      </c>
      <c r="G43" s="6" t="s">
        <v>222</v>
      </c>
      <c r="H43" s="6" t="s">
        <v>223</v>
      </c>
      <c r="I43" s="6" t="s">
        <v>241</v>
      </c>
      <c r="J43" s="6" t="s">
        <v>165</v>
      </c>
      <c r="K43" s="6">
        <f>VLOOKUP(Table1[[#This Row],[CAB SHORT NO.]],'[1]JULY 26'!$C$4:$N$47,4,0)</f>
        <v>11338</v>
      </c>
      <c r="L43" s="6">
        <f>VLOOKUP(Table1[[#This Row],[CAB SHORT NO.]],'[1]JULY 26'!$C$4:$N$47,5,0)</f>
        <v>16479</v>
      </c>
      <c r="M43" s="8">
        <f>Table1[[#This Row],[End Km]]-Table1[[#This Row],[Start Km]]</f>
        <v>5141</v>
      </c>
      <c r="N43" s="8">
        <f>VLOOKUP(Table1[[#This Row],[CAB SHORT NO.]],'[1]JULY 26'!$C$4:$N$47,12,0)</f>
        <v>12.417874396135266</v>
      </c>
      <c r="O43" s="9">
        <f>VLOOKUP(Table1[[#This Row],[CAB SHORT NO.]],'[1]JULY 26'!$C$4:$N$47,10,0)</f>
        <v>39594.959999999999</v>
      </c>
      <c r="P43" s="9"/>
      <c r="Q43" s="9">
        <f>VLOOKUP(Table1[[#This Row],[VEHICLE NUMBER]],'[2]Border Tax and Fast Tag'!$B$4:$D$157,2,0)</f>
        <v>671</v>
      </c>
      <c r="R43" s="9">
        <f>VLOOKUP(Table1[[#This Row],[VEHICLE NUMBER]],'[2]Border Tax and Fast Tag'!$B$4:$D$157,3,0)</f>
        <v>12911</v>
      </c>
      <c r="S43" s="9">
        <v>66428</v>
      </c>
      <c r="T43" s="9">
        <f>VLOOKUP(Table1[[#This Row],[EMP CODE]],[3]CTC!$D$8:$CM$56,88,0)</f>
        <v>52260.133333333331</v>
      </c>
      <c r="U43" s="9">
        <f>Table1[[#This Row],[FUEL EXPENSE]]+Table1[[#This Row],[VEHICLE MAINTENANCE]]+Table1[[#This Row],[STATE TAX]]+Table1[[#This Row],[FAST TAG/MCD/PARKING]]+Table1[[#This Row],[RENT &amp; DEPRECIATION]]+Table1[[#This Row],[CTC (Driver Salary/Cost)]]</f>
        <v>171865.09333333332</v>
      </c>
      <c r="V43" s="9">
        <f>VLOOKUP(Table1[[#This Row],[VEHICLE NUMBER]],'[2]Gross Invoice Amt'!$B$3:$C$161,2,0)</f>
        <v>248830.33000000002</v>
      </c>
      <c r="W43" s="9">
        <f>Table1[[#This Row],[HKI INVOICE AMT.]]-Table1[[#This Row],[TOTAL EXPENSE]]</f>
        <v>76965.236666666693</v>
      </c>
      <c r="X43" s="9"/>
      <c r="Y43" s="10"/>
    </row>
    <row r="44" spans="1:25" ht="18">
      <c r="A44" s="24">
        <v>43</v>
      </c>
      <c r="B44" s="5" t="s">
        <v>224</v>
      </c>
      <c r="C44" s="6" t="s">
        <v>225</v>
      </c>
      <c r="D44" s="6" t="s">
        <v>63</v>
      </c>
      <c r="E44" s="6">
        <v>2019</v>
      </c>
      <c r="F44" s="6" t="s">
        <v>28</v>
      </c>
      <c r="G44" s="6" t="s">
        <v>226</v>
      </c>
      <c r="H44" s="6" t="s">
        <v>227</v>
      </c>
      <c r="I44" s="6" t="s">
        <v>242</v>
      </c>
      <c r="J44" s="6" t="s">
        <v>165</v>
      </c>
      <c r="K44" s="6">
        <f>VLOOKUP(Table1[[#This Row],[CAB SHORT NO.]],'[1]JULY 26'!$C$4:$N$47,4,0)</f>
        <v>185425</v>
      </c>
      <c r="L44" s="6">
        <f>VLOOKUP(Table1[[#This Row],[CAB SHORT NO.]],'[1]JULY 26'!$C$4:$N$47,5,0)</f>
        <v>188368</v>
      </c>
      <c r="M44" s="8">
        <f>Table1[[#This Row],[End Km]]-Table1[[#This Row],[Start Km]]</f>
        <v>2943</v>
      </c>
      <c r="N44" s="8">
        <f>VLOOKUP(Table1[[#This Row],[CAB SHORT NO.]],'[1]JULY 26'!$C$4:$N$47,12,0)</f>
        <v>10.780219780219781</v>
      </c>
      <c r="O44" s="9">
        <f>VLOOKUP(Table1[[#This Row],[CAB SHORT NO.]],'[1]JULY 26'!$C$4:$N$47,10,0)</f>
        <v>28110.81</v>
      </c>
      <c r="P44" s="9"/>
      <c r="Q44" s="9">
        <f>VLOOKUP(Table1[[#This Row],[VEHICLE NUMBER]],'[2]Border Tax and Fast Tag'!$B$4:$D$157,2,0)</f>
        <v>4241</v>
      </c>
      <c r="R44" s="9">
        <f>VLOOKUP(Table1[[#This Row],[VEHICLE NUMBER]],'[2]Border Tax and Fast Tag'!$B$4:$D$157,3,0)</f>
        <v>11002</v>
      </c>
      <c r="S44" s="9">
        <f>VLOOKUP(Table1[[#This Row],[VEHICLE NUMBER]],'[2]Cab Rent'!$B$3:$C$156,2,0)</f>
        <v>0</v>
      </c>
      <c r="T44" s="9">
        <f>VLOOKUP(Table1[[#This Row],[EMP CODE]],[3]CTC!$D$8:$CM$56,88,0)</f>
        <v>43339.466666666667</v>
      </c>
      <c r="U44" s="9">
        <f>Table1[[#This Row],[FUEL EXPENSE]]+Table1[[#This Row],[VEHICLE MAINTENANCE]]+Table1[[#This Row],[STATE TAX]]+Table1[[#This Row],[FAST TAG/MCD/PARKING]]+Table1[[#This Row],[RENT &amp; DEPRECIATION]]+Table1[[#This Row],[CTC (Driver Salary/Cost)]]</f>
        <v>86693.276666666672</v>
      </c>
      <c r="V44" s="9">
        <f>VLOOKUP(Table1[[#This Row],[VEHICLE NUMBER]],'[2]Gross Invoice Amt'!$B$3:$C$161,2,0)</f>
        <v>165212</v>
      </c>
      <c r="W44" s="9">
        <f>Table1[[#This Row],[HKI INVOICE AMT.]]-Table1[[#This Row],[TOTAL EXPENSE]]</f>
        <v>78518.723333333328</v>
      </c>
      <c r="X44" s="9"/>
      <c r="Y44" s="10"/>
    </row>
    <row r="45" spans="1:25" ht="18">
      <c r="A45" s="24">
        <v>44</v>
      </c>
      <c r="B45" s="5" t="s">
        <v>228</v>
      </c>
      <c r="C45" s="6" t="s">
        <v>233</v>
      </c>
      <c r="D45" s="6" t="s">
        <v>229</v>
      </c>
      <c r="E45" s="6">
        <v>2019</v>
      </c>
      <c r="F45" s="6" t="s">
        <v>28</v>
      </c>
      <c r="G45" s="6" t="s">
        <v>202</v>
      </c>
      <c r="H45" s="6">
        <v>240713</v>
      </c>
      <c r="I45" s="6" t="s">
        <v>55</v>
      </c>
      <c r="J45" s="6" t="s">
        <v>165</v>
      </c>
      <c r="K45" s="6">
        <f>VLOOKUP(Table1[[#This Row],[CAB SHORT NO.]],'[1]JULY 26'!$C$4:$N$47,4,0)</f>
        <v>240546</v>
      </c>
      <c r="L45" s="6">
        <f>VLOOKUP(Table1[[#This Row],[CAB SHORT NO.]],'[1]JULY 26'!$C$4:$N$47,5,0)</f>
        <v>242447</v>
      </c>
      <c r="M45" s="14">
        <f>Table1[[#This Row],[End Km]]-Table1[[#This Row],[Start Km]]</f>
        <v>1901</v>
      </c>
      <c r="N45" s="14">
        <f>VLOOKUP(Table1[[#This Row],[CAB SHORT NO.]],'[1]JULY 26'!$C$4:$N$47,12,0)</f>
        <v>10.331521739130435</v>
      </c>
      <c r="O45" s="9">
        <f>VLOOKUP(Table1[[#This Row],[CAB SHORT NO.]],'[1]JULY 26'!$C$4:$N$47,10,0)</f>
        <v>18946.48</v>
      </c>
      <c r="P45" s="9">
        <v>478</v>
      </c>
      <c r="Q45" s="9">
        <f>VLOOKUP(Table1[[#This Row],[VEHICLE NUMBER]],'[2]Border Tax and Fast Tag'!$B$4:$D$157,2,0)</f>
        <v>1530</v>
      </c>
      <c r="R45" s="9">
        <f>VLOOKUP(Table1[[#This Row],[VEHICLE NUMBER]],'[2]Border Tax and Fast Tag'!$B$4:$D$157,3,0)</f>
        <v>3235</v>
      </c>
      <c r="S45" s="9">
        <f>VLOOKUP(Table1[[#This Row],[VEHICLE NUMBER]],'[2]Cab Rent'!$B$3:$C$156,2,0)</f>
        <v>0</v>
      </c>
      <c r="T45" s="9">
        <f>VLOOKUP(Table1[[#This Row],[EMP CODE]],[3]CTC!$D$8:$CM$56,88,0)</f>
        <v>12160.9092</v>
      </c>
      <c r="U45" s="9">
        <f>Table1[[#This Row],[FUEL EXPENSE]]+Table1[[#This Row],[VEHICLE MAINTENANCE]]+Table1[[#This Row],[STATE TAX]]+Table1[[#This Row],[FAST TAG/MCD/PARKING]]+Table1[[#This Row],[RENT &amp; DEPRECIATION]]+Table1[[#This Row],[CTC (Driver Salary/Cost)]]</f>
        <v>36350.389199999998</v>
      </c>
      <c r="V45" s="9">
        <f>VLOOKUP(Table1[[#This Row],[VEHICLE NUMBER]],'[2]Gross Invoice Amt'!$B$3:$C$161,2,0)</f>
        <v>104206</v>
      </c>
      <c r="W45" s="9">
        <f>Table1[[#This Row],[HKI INVOICE AMT.]]-Table1[[#This Row],[TOTAL EXPENSE]]</f>
        <v>67855.610799999995</v>
      </c>
      <c r="X45" s="9"/>
      <c r="Y45" s="10"/>
    </row>
    <row r="46" spans="1:25" ht="18">
      <c r="A46" s="25"/>
      <c r="B46" s="20"/>
      <c r="C46" s="20"/>
      <c r="D46" s="20"/>
      <c r="E46" s="20"/>
      <c r="F46" s="20"/>
      <c r="G46" s="20"/>
      <c r="H46" s="20"/>
      <c r="I46" s="20"/>
      <c r="J46" s="20"/>
      <c r="K46" s="21"/>
      <c r="L46" s="21"/>
      <c r="M46" s="22"/>
      <c r="N46" s="22"/>
      <c r="O46" s="23">
        <f>SUBTOTAL(109,Table1[FUEL EXPENSE])</f>
        <v>935564.00000000012</v>
      </c>
      <c r="P46" s="23">
        <f>SUBTOTAL(109,Table1[VEHICLE MAINTENANCE])</f>
        <v>7016</v>
      </c>
      <c r="Q46" s="23">
        <f>SUBTOTAL(109,Table1[STATE TAX])</f>
        <v>71611</v>
      </c>
      <c r="R46" s="23">
        <f>SUBTOTAL(109,Table1[FAST TAG/MCD/PARKING])</f>
        <v>233075</v>
      </c>
      <c r="S46" s="23">
        <f>SUBTOTAL(109,Table1[RENT &amp; DEPRECIATION])</f>
        <v>1329355</v>
      </c>
      <c r="T46" s="23">
        <f>SUBTOTAL(109,Table1[CTC (Driver Salary/Cost)])</f>
        <v>1887502.033133334</v>
      </c>
      <c r="U46" s="23">
        <f>SUBTOTAL(109,Table1[TOTAL EXPENSE])</f>
        <v>4464123.0331333326</v>
      </c>
      <c r="V46" s="23">
        <f>SUBTOTAL(109,Table1[HKI INVOICE AMT.])</f>
        <v>5786261.6500000004</v>
      </c>
      <c r="W46" s="23">
        <f>SUM(W2:W45)</f>
        <v>1403513.9796666664</v>
      </c>
      <c r="X46" s="23">
        <f>SUM(X2:X45)</f>
        <v>-81375.362799999988</v>
      </c>
      <c r="Y46" s="15"/>
    </row>
  </sheetData>
  <conditionalFormatting sqref="X2 W3:W10 X11 W12:W31 X32 W33 X34:X35 W36:W45">
    <cfRule type="cellIs" dxfId="0" priority="1" operator="lessThan">
      <formula>0</formula>
    </cfRule>
  </conditionalFormatting>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Report -1 </vt:lpstr>
      <vt:lpstr>Report-2</vt:lpstr>
      <vt:lpstr>HKI CAB DASHBORD</vt:lpstr>
      <vt:lpstr>Sheet5</vt:lpstr>
      <vt:lpstr>MIS JULY-26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Rupesh Kumar</dc:creator>
  <cp:lastModifiedBy>Rupesh Kumar</cp:lastModifiedBy>
  <dcterms:created xsi:type="dcterms:W3CDTF">2026-08-10T09:00:48Z</dcterms:created>
  <dcterms:modified xsi:type="dcterms:W3CDTF">2026-08-11T16:41:55Z</dcterms:modified>
</cp:coreProperties>
</file>